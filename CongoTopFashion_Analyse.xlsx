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1. Synthèse Direction" sheetId="1" r:id="rId1"/>
    <sheet name="2. Qualité des données" sheetId="2" r:id="rId2"/>
    <sheet name="3. Ventes" sheetId="3" r:id="rId3"/>
    <sheet name="4. Produits" sheetId="4" r:id="rId4"/>
    <sheet name="5. Clients" sheetId="5" r:id="rId5"/>
    <sheet name="6. Logistique-Retours" sheetId="6" r:id="rId6"/>
    <sheet name="7. Marketing" sheetId="7" r:id="rId7"/>
    <sheet name="8. Stocks-Achats" sheetId="8" r:id="rId8"/>
    <sheet name="9. Objectifs-Prévision" sheetId="9" r:id="rId9"/>
    <sheet name="10. Recommandations" sheetId="10" r:id="rId10"/>
  </sheets>
  <calcPr calcId="124519" fullCalcOnLoad="1"/>
</workbook>
</file>

<file path=xl/sharedStrings.xml><?xml version="1.0" encoding="utf-8"?>
<sst xmlns="http://schemas.openxmlformats.org/spreadsheetml/2006/main" count="559" uniqueCount="432">
  <si>
    <t>CongoTopFashion — Synthèse de direction</t>
  </si>
  <si>
    <t>Analyse de la base de données commerciale · Période 2021-2025 · 15 000 commandes · 2 000 clients</t>
  </si>
  <si>
    <t>2.39 M$</t>
  </si>
  <si>
    <t>Chiffre d'affaires</t>
  </si>
  <si>
    <t>686 k$</t>
  </si>
  <si>
    <t>Bénéfice net</t>
  </si>
  <si>
    <t>28.8 %</t>
  </si>
  <si>
    <t>Marge nette réelle</t>
  </si>
  <si>
    <t>170 $</t>
  </si>
  <si>
    <t>Panier moyen</t>
  </si>
  <si>
    <t>13.3 %</t>
  </si>
  <si>
    <t>Taux de retour</t>
  </si>
  <si>
    <t>6.2 %</t>
  </si>
  <si>
    <t>Taux d'annulation</t>
  </si>
  <si>
    <t>Évolution annuelle</t>
  </si>
  <si>
    <t>Année</t>
  </si>
  <si>
    <t>CA (USD)</t>
  </si>
  <si>
    <t>Bénéfice (USD)</t>
  </si>
  <si>
    <t>Nb commandes</t>
  </si>
  <si>
    <t>Marge %</t>
  </si>
  <si>
    <t>Croissance %</t>
  </si>
  <si>
    <t>Points d'alerte prioritaires</t>
  </si>
  <si>
    <t>Sujet</t>
  </si>
  <si>
    <t>Constat chiffré</t>
  </si>
  <si>
    <t>Surstock critique</t>
  </si>
  <si>
    <t>Stock valorisé à 8.02 M$ pour un coût des ventes annuel de 274 k$, soit 29 années de couverture. 4,77 M$ immobilisés sur les seules lignes en surstock.</t>
  </si>
  <si>
    <t>Objectifs commerciaux inopérants</t>
  </si>
  <si>
    <t>Taux de réalisation moyen de 14.2 %. Aucun des 500 objectifs n'a été atteint sur 5 ans. Objectif annuel par boutique fixé à 376 767 $ contre 45 016 $ réellement réalisés.</t>
  </si>
  <si>
    <t>Marge nette surestimée dans le reporting actuel</t>
  </si>
  <si>
    <t>Le tableau KPI existant affiche 33,45 % (moyenne des pourcentages par commande). La marge réelle pondérée est de 28.76 %, soit 4,7 points d'écart.</t>
  </si>
  <si>
    <t>Attribution marketing incohérente</t>
  </si>
  <si>
    <t>Les campagnes déclarent 3.25 M$ de CA généré, soit 136 % du chiffre d'affaires réel de l'entreprise. 55 campagnes affichent un ROAS inférieur à 1 (192 944 $ sans retour).</t>
  </si>
  <si>
    <t>Croissance en décélération</t>
  </si>
  <si>
    <t>Le rythme de croissance annuelle est passé de +51 % (2022) à +16 % (2025), soit une division par trois en quatre ans.</t>
  </si>
  <si>
    <t>Écarts d'inventaire généralisés</t>
  </si>
  <si>
    <t>87.8 % des comptages d'inventaire présentent un écart avec le stock théorique, pour une perte brute de 13 644 $.</t>
  </si>
  <si>
    <t>Contrôle qualité et nettoyage de la base</t>
  </si>
  <si>
    <t>24 tables · 100 351 lignes · contrôles de doublons, valeurs manquantes, intégrité référentielle et cohérence des calculs</t>
  </si>
  <si>
    <t>Table</t>
  </si>
  <si>
    <t>Lignes dupliquées</t>
  </si>
  <si>
    <t>IDs dupliqués</t>
  </si>
  <si>
    <t>Colonnes avec vides</t>
  </si>
  <si>
    <t>Total valeurs vides</t>
  </si>
  <si>
    <t>Clients</t>
  </si>
  <si>
    <t>Produits</t>
  </si>
  <si>
    <t>Catégories</t>
  </si>
  <si>
    <t>Sous_Catégories</t>
  </si>
  <si>
    <t>Marques</t>
  </si>
  <si>
    <t>Fournisseurs</t>
  </si>
  <si>
    <t>Employés</t>
  </si>
  <si>
    <t>Boutiques</t>
  </si>
  <si>
    <t>Commandes</t>
  </si>
  <si>
    <t>Détails_Commandes</t>
  </si>
  <si>
    <t>Paiements</t>
  </si>
  <si>
    <t>Livraisons</t>
  </si>
  <si>
    <t>Retours</t>
  </si>
  <si>
    <t>Stocks</t>
  </si>
  <si>
    <t>Inventaires</t>
  </si>
  <si>
    <t>Promotions</t>
  </si>
  <si>
    <t>Campagnes_Marketing</t>
  </si>
  <si>
    <t>Objectifs_Commerciaux</t>
  </si>
  <si>
    <t>Achats_Fournisseurs</t>
  </si>
  <si>
    <t>Paramètres</t>
  </si>
  <si>
    <t>Dictionnaire_Données</t>
  </si>
  <si>
    <t>Relations</t>
  </si>
  <si>
    <t>KPI_Annuel</t>
  </si>
  <si>
    <t>KPI_Global</t>
  </si>
  <si>
    <t>Intégrité référentielle (clés étrangères)</t>
  </si>
  <si>
    <t>Colonne clé</t>
  </si>
  <si>
    <t>Table référencée</t>
  </si>
  <si>
    <t>Références orphelines</t>
  </si>
  <si>
    <t>ID_Client</t>
  </si>
  <si>
    <t>ID_Employé_Vendeur</t>
  </si>
  <si>
    <t>ID_Boutique</t>
  </si>
  <si>
    <t>ID_Promotion</t>
  </si>
  <si>
    <t>ID_Commande</t>
  </si>
  <si>
    <t>ID_Produit</t>
  </si>
  <si>
    <t>ID_Fournisseur</t>
  </si>
  <si>
    <t>ID_Marque</t>
  </si>
  <si>
    <t>Contrôles de valeurs aberrantes</t>
  </si>
  <si>
    <t>Contrôle</t>
  </si>
  <si>
    <t>Lignes concernées</t>
  </si>
  <si>
    <t>Clients age hors plage</t>
  </si>
  <si>
    <t>Produits marge negative</t>
  </si>
  <si>
    <t>Produits prix invalide</t>
  </si>
  <si>
    <t>Commandes montant negatif</t>
  </si>
  <si>
    <t>Details quantite invalide</t>
  </si>
  <si>
    <t>Livraisons delai negatif</t>
  </si>
  <si>
    <t>Conclusion du contrôle qualité</t>
  </si>
  <si>
    <t>Aucun doublon de ligne ni d'identifiant sur les 19 tables transactionnelles.</t>
  </si>
  <si>
    <t>Intégrité référentielle parfaite : zéro référence orpheline sur les 18 relations testées.</t>
  </si>
  <si>
    <t>Aucune valeur aberrante : pas de montant négatif, pas de marge négative, pas de quantité nulle, pas d'âge hors plage.</t>
  </si>
  <si>
    <t>Cohérence arithmétique validée : Montant Brut - Remise = Montant Net TTC sur les 15 000 commandes.</t>
  </si>
  <si>
    <t>Les valeurs manquantes identifiées sont structurelles et non des défauts : 8 607 commandes sans vendeur (ventes en ligne sans intervention humaine), 8 930 commandes sans promotion (achats hors campagne), 1 613 clients sans entreprise (particuliers), 931 livraisons sans date d'expédition (commandes annulées).</t>
  </si>
  <si>
    <t>Traitements appliqués : suppression des espaces superflus dans les champs texte et conversion explicite de toutes les colonnes de dates au format date.</t>
  </si>
  <si>
    <t>Analyse des ventes</t>
  </si>
  <si>
    <t>Répartition du chiffre d'affaires par canal, boutique, catégorie et province (commandes hors annulations)</t>
  </si>
  <si>
    <t>Par canal de vente</t>
  </si>
  <si>
    <t>Canal de vente</t>
  </si>
  <si>
    <t>Bénéfice</t>
  </si>
  <si>
    <t>Part du CA %</t>
  </si>
  <si>
    <t>Boutique Physique</t>
  </si>
  <si>
    <t>Facebook</t>
  </si>
  <si>
    <t>Site E-commerce</t>
  </si>
  <si>
    <t>WhatsApp Business</t>
  </si>
  <si>
    <t>Instagram</t>
  </si>
  <si>
    <t>Commercial Terrain</t>
  </si>
  <si>
    <t>Par boutique</t>
  </si>
  <si>
    <t>Boutique</t>
  </si>
  <si>
    <t>GongoTopFashion E-commerce</t>
  </si>
  <si>
    <t>GongoTopFashion Kinshasa Limete</t>
  </si>
  <si>
    <t>GongoTopFashion Kinshasa Gombe</t>
  </si>
  <si>
    <t>GongoTopFashion Goma Goma</t>
  </si>
  <si>
    <t>GongoTopFashion Kinshasa Masina</t>
  </si>
  <si>
    <t>GongoTopFashion Matadi Matadi</t>
  </si>
  <si>
    <t>GongoTopFashion Bukavu Ibanda</t>
  </si>
  <si>
    <t>GongoTopFashion Kinshasa Ngaliema</t>
  </si>
  <si>
    <t>GongoTopFashion Lubumbashi Lubumbashi</t>
  </si>
  <si>
    <t>GongoTopFashion Kinshasa Kintambo</t>
  </si>
  <si>
    <t>GongoTopFashion Mbuji-Mayi Dibindi</t>
  </si>
  <si>
    <t>GongoTopFashion Kolwezi Manika</t>
  </si>
  <si>
    <t>Par catégorie de produits</t>
  </si>
  <si>
    <t>Catégorie</t>
  </si>
  <si>
    <t>Quantité vendue</t>
  </si>
  <si>
    <t>Vêtements Femme</t>
  </si>
  <si>
    <t>Vêtements Homme</t>
  </si>
  <si>
    <t>Chaussures Homme</t>
  </si>
  <si>
    <t>Prêt-à-Porter Traditionnel</t>
  </si>
  <si>
    <t>Sacs &amp; Maroquinerie</t>
  </si>
  <si>
    <t>Chaussures Femme</t>
  </si>
  <si>
    <t>Parfums &amp; Cosmétiques</t>
  </si>
  <si>
    <t>Accessoires de Mode</t>
  </si>
  <si>
    <t>Vêtements Enfant</t>
  </si>
  <si>
    <t>Uniformes Scolaires</t>
  </si>
  <si>
    <t>Chaussures Enfant</t>
  </si>
  <si>
    <t>Par province</t>
  </si>
  <si>
    <t>Province</t>
  </si>
  <si>
    <t>Kinshasa</t>
  </si>
  <si>
    <t>Nord-Kivu</t>
  </si>
  <si>
    <t>Kongo-Central</t>
  </si>
  <si>
    <t>Sud-Kivu</t>
  </si>
  <si>
    <t>Haut-Katanga</t>
  </si>
  <si>
    <t>Kasaï-Oriental</t>
  </si>
  <si>
    <t>Lualaba</t>
  </si>
  <si>
    <t>Analyse du portefeuille produits</t>
  </si>
  <si>
    <t>Classement ABC (Pareto), meilleures ventes et performance par marque sur 700 références</t>
  </si>
  <si>
    <t>Classification ABC</t>
  </si>
  <si>
    <t>Classe ABC</t>
  </si>
  <si>
    <t>Nb produits</t>
  </si>
  <si>
    <t>Part des produits %</t>
  </si>
  <si>
    <t>A</t>
  </si>
  <si>
    <t>B</t>
  </si>
  <si>
    <t>C</t>
  </si>
  <si>
    <t>Top 15 produits par chiffre d'affaires</t>
  </si>
  <si>
    <t>ID Produit</t>
  </si>
  <si>
    <t>Produit</t>
  </si>
  <si>
    <t>Quantité</t>
  </si>
  <si>
    <t>PRD0099</t>
  </si>
  <si>
    <t>Costumes Maison Elikya Deluxe</t>
  </si>
  <si>
    <t>PRD0027</t>
  </si>
  <si>
    <t>Costumes Sapeur Elite Deluxe</t>
  </si>
  <si>
    <t>PRD0675</t>
  </si>
  <si>
    <t>Boubous Royal Kongo Deluxe</t>
  </si>
  <si>
    <t>PRD0033</t>
  </si>
  <si>
    <t>Costumes Prestige Kin Essentiel(le)</t>
  </si>
  <si>
    <t>PRD0063</t>
  </si>
  <si>
    <t>Costumes Wenge Denim Classique</t>
  </si>
  <si>
    <t>PRD0123</t>
  </si>
  <si>
    <t>Robe Maison Elikya Confort</t>
  </si>
  <si>
    <t>PRD0075</t>
  </si>
  <si>
    <t>Costumes Maison Elikya Prestige</t>
  </si>
  <si>
    <t>PRD0151</t>
  </si>
  <si>
    <t>Tailleur Kin Style Basique</t>
  </si>
  <si>
    <t>PRD0199</t>
  </si>
  <si>
    <t>Tailleur Istanbul Fashion Co Basique</t>
  </si>
  <si>
    <t>PRD0015</t>
  </si>
  <si>
    <t>Costumes Sapologie Paris Moderne</t>
  </si>
  <si>
    <t>PRD0057</t>
  </si>
  <si>
    <t>Costumes Sapeur Elite Signature</t>
  </si>
  <si>
    <t>PRD0121</t>
  </si>
  <si>
    <t>Tailleur Istanbul Fashion Co Classique</t>
  </si>
  <si>
    <t>PRD0127</t>
  </si>
  <si>
    <t>Tailleur Wenge Denim Tendance</t>
  </si>
  <si>
    <t>PRD0663</t>
  </si>
  <si>
    <t>Boubous Afrochic Deluxe</t>
  </si>
  <si>
    <t>PRD0021</t>
  </si>
  <si>
    <t>Costumes Ndeko Wear Classique</t>
  </si>
  <si>
    <t>Top 10 marques</t>
  </si>
  <si>
    <t>Marque</t>
  </si>
  <si>
    <t>Maison Elikya</t>
  </si>
  <si>
    <t>Royal Kongo</t>
  </si>
  <si>
    <t>Barcelona Look</t>
  </si>
  <si>
    <t>Zoba Style</t>
  </si>
  <si>
    <t>Sapeur Elite</t>
  </si>
  <si>
    <t>Wenge Denim</t>
  </si>
  <si>
    <t>Prestige Kin</t>
  </si>
  <si>
    <t>Speed Runner</t>
  </si>
  <si>
    <t>Istanbul Fashion Co</t>
  </si>
  <si>
    <t>Canton Textile</t>
  </si>
  <si>
    <t>Analyse du portefeuille clients</t>
  </si>
  <si>
    <t>Segmentation RFM, valeur vie client, concentration et démographie sur 2 000 clients</t>
  </si>
  <si>
    <t>Segmentation RFM</t>
  </si>
  <si>
    <t>Segment RFM</t>
  </si>
  <si>
    <t>Nb clients</t>
  </si>
  <si>
    <t>CA cumulé (USD)</t>
  </si>
  <si>
    <t>Part clients %</t>
  </si>
  <si>
    <t>Part CA %</t>
  </si>
  <si>
    <t>Panier moyen vie</t>
  </si>
  <si>
    <t>Champions</t>
  </si>
  <si>
    <t>Clients Fidèles</t>
  </si>
  <si>
    <t>Clients Réguliers</t>
  </si>
  <si>
    <t>Clients Perdus</t>
  </si>
  <si>
    <t>Clients à Risque</t>
  </si>
  <si>
    <t>Nouveaux Clients</t>
  </si>
  <si>
    <t>Sans Achat</t>
  </si>
  <si>
    <t>Indicateurs de valeur client</t>
  </si>
  <si>
    <t>Indicateur</t>
  </si>
  <si>
    <t>Valeur</t>
  </si>
  <si>
    <t>Âge moyen</t>
  </si>
  <si>
    <t>42.9 ans</t>
  </si>
  <si>
    <t>Revenu mensuel moyen</t>
  </si>
  <si>
    <t>697 $</t>
  </si>
  <si>
    <t>CLV moyenne (tous clients)</t>
  </si>
  <si>
    <t>1756 $</t>
  </si>
  <si>
    <t>CLV moyenne client VIP</t>
  </si>
  <si>
    <t>6200 $</t>
  </si>
  <si>
    <t>CLV moyenne client non-VIP</t>
  </si>
  <si>
    <t>843 $</t>
  </si>
  <si>
    <t>Écart de valeur VIP / non-VIP</t>
  </si>
  <si>
    <t>7.4 x</t>
  </si>
  <si>
    <t>Part du CA réalisée par les 20 % meilleurs clients</t>
  </si>
  <si>
    <t>62.1 %</t>
  </si>
  <si>
    <t>Part du CA réalisée par les 10 % meilleurs clients</t>
  </si>
  <si>
    <t>43.4 %</t>
  </si>
  <si>
    <t>Statut d'activité</t>
  </si>
  <si>
    <t>Statut client</t>
  </si>
  <si>
    <t>Actif</t>
  </si>
  <si>
    <t>Perdu</t>
  </si>
  <si>
    <t>Inactif</t>
  </si>
  <si>
    <t>Jamais Actif</t>
  </si>
  <si>
    <t>Répartition géographique</t>
  </si>
  <si>
    <t>Ville</t>
  </si>
  <si>
    <t>Lubumbashi</t>
  </si>
  <si>
    <t>Bukavu</t>
  </si>
  <si>
    <t>Goma</t>
  </si>
  <si>
    <t>Kisangani</t>
  </si>
  <si>
    <t>Kananga</t>
  </si>
  <si>
    <t>Mbuji-Mayi</t>
  </si>
  <si>
    <t>Matadi</t>
  </si>
  <si>
    <t>Canal d'acquisition</t>
  </si>
  <si>
    <t>Bouche-à-Oreille</t>
  </si>
  <si>
    <t>Performance logistique et retours produits</t>
  </si>
  <si>
    <t>Délais, retards, satisfaction client, transporteurs et analyse des motifs de retour</t>
  </si>
  <si>
    <t>Performance par mode de livraison</t>
  </si>
  <si>
    <t>Mode de livraison</t>
  </si>
  <si>
    <t>Nb livraisons</t>
  </si>
  <si>
    <t>Délai moyen (j)</t>
  </si>
  <si>
    <t>Taux de retard %</t>
  </si>
  <si>
    <t>Satisfaction /5</t>
  </si>
  <si>
    <t>Coût moyen</t>
  </si>
  <si>
    <t>Livraison à Domicile</t>
  </si>
  <si>
    <t>Remise en Main Propre</t>
  </si>
  <si>
    <t>Retrait en Boutique</t>
  </si>
  <si>
    <t>Performance par transporteur</t>
  </si>
  <si>
    <t>Transporteur</t>
  </si>
  <si>
    <t>Logistique Interne GTF</t>
  </si>
  <si>
    <t>Partenaire Express Kin</t>
  </si>
  <si>
    <t>Partenaire National RDC</t>
  </si>
  <si>
    <t>Interne (Boutique)</t>
  </si>
  <si>
    <t>Motifs de retour</t>
  </si>
  <si>
    <t>Motif de retour</t>
  </si>
  <si>
    <t>Nombre</t>
  </si>
  <si>
    <t>Part %</t>
  </si>
  <si>
    <t>Montant remboursé</t>
  </si>
  <si>
    <t>Problème de Taille</t>
  </si>
  <si>
    <t>Produit Défectueux</t>
  </si>
  <si>
    <t>Ne Convient Pas</t>
  </si>
  <si>
    <t>Produit Endommagé au Transport</t>
  </si>
  <si>
    <t>Erreur de Commande</t>
  </si>
  <si>
    <t>Retours par catégorie</t>
  </si>
  <si>
    <t>Nb retours</t>
  </si>
  <si>
    <t>Taux de retour %</t>
  </si>
  <si>
    <t>Performance marketing et promotions</t>
  </si>
  <si>
    <t>Retour sur investissement par canal, coût d'acquisition et impact des promotions sur la marge</t>
  </si>
  <si>
    <t>Performance par canal marketing</t>
  </si>
  <si>
    <t>Canal</t>
  </si>
  <si>
    <t>Nb campagnes</t>
  </si>
  <si>
    <t>Budget (USD)</t>
  </si>
  <si>
    <t>CA généré déclaré</t>
  </si>
  <si>
    <t>ROAS réel</t>
  </si>
  <si>
    <t>Conversions</t>
  </si>
  <si>
    <t>Coût / conversion</t>
  </si>
  <si>
    <t>Taux conversion %</t>
  </si>
  <si>
    <t>Google Ads</t>
  </si>
  <si>
    <t>Site Web</t>
  </si>
  <si>
    <t>Affichage</t>
  </si>
  <si>
    <t>SMS</t>
  </si>
  <si>
    <t>Radio</t>
  </si>
  <si>
    <t>Impact des promotions sur la rentabilité</t>
  </si>
  <si>
    <t>Type de commande</t>
  </si>
  <si>
    <t>Marge moyenne %</t>
  </si>
  <si>
    <t>Sans promotion</t>
  </si>
  <si>
    <t>Avec promotion</t>
  </si>
  <si>
    <t>Gestion des stocks et des approvisionnements</t>
  </si>
  <si>
    <t>Couverture, surstock, ruptures, écarts d'inventaire et performance fournisseurs</t>
  </si>
  <si>
    <t>Indicateurs de stock</t>
  </si>
  <si>
    <t>Valeur totale du stock</t>
  </si>
  <si>
    <t>8 020 239 $</t>
  </si>
  <si>
    <t>Coût des ventes annuel moyen</t>
  </si>
  <si>
    <t>274 139 $</t>
  </si>
  <si>
    <t>Couverture de stock</t>
  </si>
  <si>
    <t>29,3 années</t>
  </si>
  <si>
    <t>Lignes en surstock</t>
  </si>
  <si>
    <t>1392</t>
  </si>
  <si>
    <t>Valeur immobilisée en surstock</t>
  </si>
  <si>
    <t>4 773 794 $</t>
  </si>
  <si>
    <t>Lignes en rupture</t>
  </si>
  <si>
    <t>87</t>
  </si>
  <si>
    <t>Lignes sous le stock minimum</t>
  </si>
  <si>
    <t>216</t>
  </si>
  <si>
    <t>Rotation de stock moyenne</t>
  </si>
  <si>
    <t>0,16</t>
  </si>
  <si>
    <t>Achats fournisseurs cumulés</t>
  </si>
  <si>
    <t>4 922 934 $</t>
  </si>
  <si>
    <t>Ratio achats / coût des ventes</t>
  </si>
  <si>
    <t>3,6 x</t>
  </si>
  <si>
    <t>Écarts d'inventaire</t>
  </si>
  <si>
    <t>Nombre d'inventaires réalisés</t>
  </si>
  <si>
    <t>500</t>
  </si>
  <si>
    <t>Part des comptages présentant un écart</t>
  </si>
  <si>
    <t>87.8 %</t>
  </si>
  <si>
    <t>Nombre d'écarts négatifs (manquants)</t>
  </si>
  <si>
    <t>272</t>
  </si>
  <si>
    <t>Perte brute liée aux écarts négatifs</t>
  </si>
  <si>
    <t>-13 644 $</t>
  </si>
  <si>
    <t>Écart net de valorisation</t>
  </si>
  <si>
    <t>-5 799 $</t>
  </si>
  <si>
    <t>Top 10 fournisseurs par volume d'achat</t>
  </si>
  <si>
    <t>Fournisseur</t>
  </si>
  <si>
    <t>Nb achats</t>
  </si>
  <si>
    <t>Montant (USD)</t>
  </si>
  <si>
    <t>Retard moyen (j)</t>
  </si>
  <si>
    <t>Score fiabilité</t>
  </si>
  <si>
    <t>Guangzhou Fashion Group 907</t>
  </si>
  <si>
    <t>Mumbai Import-Export 716</t>
  </si>
  <si>
    <t>Guangzhou Garment 477</t>
  </si>
  <si>
    <t>Guangzhou Distribution 803</t>
  </si>
  <si>
    <t>Guangzhou Distribution 327</t>
  </si>
  <si>
    <t>Istanbul Fashion Group 146</t>
  </si>
  <si>
    <t>Istanbul Textiles Modernes 901</t>
  </si>
  <si>
    <t>Istanbul Négoce 301</t>
  </si>
  <si>
    <t>Istanbul Négoce 923</t>
  </si>
  <si>
    <t>Istanbul Trading 455</t>
  </si>
  <si>
    <t>Objectifs commerciaux et projection 2026</t>
  </si>
  <si>
    <t>Analyse de l'atteinte des objectifs et prévision du chiffre d'affaires par régression avec correction saisonnière</t>
  </si>
  <si>
    <t>Atteinte des objectifs par boutique (cumul 2021-2025)</t>
  </si>
  <si>
    <t>Objectif (USD)</t>
  </si>
  <si>
    <t>Réalisé (USD)</t>
  </si>
  <si>
    <t>Taux de réalisation %</t>
  </si>
  <si>
    <t>Projection mensuelle 2026</t>
  </si>
  <si>
    <t>Mois</t>
  </si>
  <si>
    <t>CA prévu (USD)</t>
  </si>
  <si>
    <t>2026-01</t>
  </si>
  <si>
    <t>2026-02</t>
  </si>
  <si>
    <t>2026-03</t>
  </si>
  <si>
    <t>2026-04</t>
  </si>
  <si>
    <t>2026-05</t>
  </si>
  <si>
    <t>2026-06</t>
  </si>
  <si>
    <t>2026-07</t>
  </si>
  <si>
    <t>2026-08</t>
  </si>
  <si>
    <t>2026-09</t>
  </si>
  <si>
    <t>2026-10</t>
  </si>
  <si>
    <t>2026-11</t>
  </si>
  <si>
    <t>2026-12</t>
  </si>
  <si>
    <t>Recommandations opérationnelles</t>
  </si>
  <si>
    <t>Actions classées par priorité, avec impact chiffré estimé et indicateur de suivi</t>
  </si>
  <si>
    <t>#</t>
  </si>
  <si>
    <t>Recommandation</t>
  </si>
  <si>
    <t>Constat et action</t>
  </si>
  <si>
    <t>Nature de l'impact</t>
  </si>
  <si>
    <t>Impact estimé</t>
  </si>
  <si>
    <t>Échéance</t>
  </si>
  <si>
    <t>Déstocker et geler les réapprovisionnements</t>
  </si>
  <si>
    <t>Le stock représente 8,02 M$ pour un coût des ventes annuel de 274 k$, soit 29 années de couverture. Geler les achats sur les 1 392 lignes en surstock, lancer un plan de déstockage sur les 239 produits de classe C (5 % du CA) et n'approvisionner que sur les 254 produits de classe A.</t>
  </si>
  <si>
    <t>Libération de trésorerie</t>
  </si>
  <si>
    <t>2 à 3 M$</t>
  </si>
  <si>
    <t>Immédiat</t>
  </si>
  <si>
    <t>Refonder le système d'objectifs commerciaux</t>
  </si>
  <si>
    <t>Aucun des 500 objectifs n'a été atteint en 5 ans (taux moyen 14,2 %). L'objectif annuel par boutique est fixé à 376 767 $ contre 45 016 $ réalisés. Recalibrer les objectifs sur la base du réalisé N-1 majoré de 15 à 20 %, et réactiver le système de primes aujourd'hui inopérant (69 $ versés au total).</t>
  </si>
  <si>
    <t>Motivation des équipes</t>
  </si>
  <si>
    <t>Non chiffrable</t>
  </si>
  <si>
    <t>Corriger le calcul de la marge dans le reporting</t>
  </si>
  <si>
    <t>Le tableau de bord actuel affiche une marge nette de 33,45 %, calculée comme moyenne arithmétique des marges par commande. La marge réelle pondérée est de 28,76 %. L'écart de 4,7 points fausse toutes les décisions de tarification et d'investissement.</t>
  </si>
  <si>
    <t>Fiabilité du pilotage</t>
  </si>
  <si>
    <t>4,7 points</t>
  </si>
  <si>
    <t>Réduire les retours liés aux problèmes de taille</t>
  </si>
  <si>
    <t>Les problèmes de taille représentent 44 % des retours (881 cas) et 30 450 $ de remboursements. Publier un guide des tailles détaillé avec mensurations réelles par référence, ajouter des photos portées et un service de conseil taille sur WhatsApp.</t>
  </si>
  <si>
    <t>Économie sur remboursements</t>
  </si>
  <si>
    <t>18 à 24 k$/an</t>
  </si>
  <si>
    <t>3 mois</t>
  </si>
  <si>
    <t>Auditer et réallouer le budget marketing</t>
  </si>
  <si>
    <t>Le budget marketing représente 31,3 % du chiffre d'affaires, un niveau très supérieur aux standards du secteur (8 à 12 %). 55 campagnes affichent un ROAS inférieur à 1, soit 192 944 $ sans retour. Par ailleurs, le CA généré déclaré (3,25 M$) dépasse de 36 % le CA réel de l'entreprise : le modèle d'attribution doit être refondu avant toute décision budgétaire.</t>
  </si>
  <si>
    <t>Économie budgétaire</t>
  </si>
  <si>
    <t>190 à 400 k$</t>
  </si>
  <si>
    <t>Concentrer l'effort de fidélisation sur les Champions</t>
  </si>
  <si>
    <t>Les 341 clients Champions (17 % de la base) génèrent 49,2 % du chiffre d'affaires, avec une valeur vie de 6 200 $ contre 843 $ pour les autres, soit un rapport de 7,4. Mettre en place un programme dédié : accès prioritaire aux nouvelles collections, conseiller personnel, avantages exclusifs.</t>
  </si>
  <si>
    <t>Rétention du CA cœur</t>
  </si>
  <si>
    <t>1,17 M$ protégés</t>
  </si>
  <si>
    <t>6 mois</t>
  </si>
  <si>
    <t>Réactiver les 631 clients perdus et inactifs</t>
  </si>
  <si>
    <t>631 clients (31,5 % de la base) sont perdus ou inactifs, et 257 clients inscrits n'ont jamais commandé. Lancer une campagne de réactivation ciblée par WhatsApp, le canal au meilleur retour (ROAS 9,65), et analyser le parcours des inscrits sans achat.</t>
  </si>
  <si>
    <t>CA additionnel</t>
  </si>
  <si>
    <t>80 à 150 k$/an</t>
  </si>
  <si>
    <t>Améliorer la fiabilité de la livraison à domicile</t>
  </si>
  <si>
    <t>La livraison à domicile affiche 15,3 % de retard, contre 0 % pour le retrait en boutique. Une livraison en retard fait chuter la satisfaction de 3,97 à 2,91 sur 5, soit -27 %. Les trois transporteurs sont équivalents (15 à 16 % de retard) : le problème est interne au processus d'expédition, pas au choix du prestataire.</t>
  </si>
  <si>
    <t>Satisfaction client</t>
  </si>
  <si>
    <t>+1,1 point /5</t>
  </si>
  <si>
    <t>Réviser la politique promotionnelle</t>
  </si>
  <si>
    <t>Les commandes sous promotion affichent un panier moyen de 162 $ contre 175 $ hors promotion, et une marge de 31,1 % contre 35,0 %. Les promotions détruisent de la valeur sans augmenter le panier. Les recentrer sur l'écoulement du stock dormant plutôt que sur les produits de classe A.</t>
  </si>
  <si>
    <t>Gain de marge</t>
  </si>
  <si>
    <t>3,9 points</t>
  </si>
  <si>
    <t>Renforcer le contrôle des inventaires</t>
  </si>
  <si>
    <t>87,8 % des comptages d'inventaire présentent un écart avec le stock théorique, pour une perte brute de 13 644 $. Passer à des inventaires tournants mensuels sur les produits de classe A et instaurer une traçabilité des mouvements de stock.</t>
  </si>
  <si>
    <t>Réduction de la démarque</t>
  </si>
  <si>
    <t>10 à 14 k$/an</t>
  </si>
  <si>
    <t>Développer le e-commerce et réduire la dépendance à Kinshasa</t>
  </si>
  <si>
    <t>Le e-commerce concentre 57 % du chiffre d'affaires et Kinshasa 79,6 %. Cette double concentration constitue un risque majeur. Renforcer les boutiques de Kolwezi (48 k$) et Mbuji-Mayi (64 k$), les deux plus faibles, et sécuriser la plateforme e-commerce.</t>
  </si>
  <si>
    <t>Réduction du risque</t>
  </si>
  <si>
    <t>12 mois</t>
  </si>
  <si>
    <t>Homogénéiser la performance des vendeurs</t>
  </si>
  <si>
    <t>L'écart entre le meilleur et le moins performant des 68 vendeurs actifs est de 13,4 fois. Identifier les pratiques des meilleurs vendeurs, les formaliser et déployer un plan de formation.</t>
  </si>
  <si>
    <t>60 à 100 k$/an</t>
  </si>
</sst>
</file>

<file path=xl/styles.xml><?xml version="1.0" encoding="utf-8"?>
<styleSheet xmlns="http://schemas.openxmlformats.org/spreadsheetml/2006/main">
  <numFmts count="5">
    <numFmt numFmtId="164" formatCode="#,##0"/>
    <numFmt numFmtId="165" formatCode="#,##0 &quot;$&quot;"/>
    <numFmt numFmtId="166" formatCode="0.0&quot;%&quot;"/>
    <numFmt numFmtId="167" formatCode="0.00"/>
    <numFmt numFmtId="168" formatCode="#,##0.00 &quot;$&quot;"/>
  </numFmts>
  <fonts count="11">
    <font>
      <sz val="11"/>
      <color theme="1"/>
      <name val="Calibri"/>
      <family val="2"/>
      <scheme val="minor"/>
    </font>
    <font>
      <b/>
      <sz val="16"/>
      <color rgb="FF1A1A1A"/>
      <name val="Calibri"/>
      <family val="2"/>
      <scheme val="minor"/>
    </font>
    <font>
      <i/>
      <sz val="10"/>
      <color rgb="FF666666"/>
      <name val="Calibri"/>
      <family val="2"/>
      <scheme val="minor"/>
    </font>
    <font>
      <b/>
      <sz val="20"/>
      <color rgb="FF2C6E8E"/>
      <name val="Calibri"/>
      <family val="2"/>
      <scheme val="minor"/>
    </font>
    <font>
      <sz val="10"/>
      <color rgb="FF555555"/>
      <name val="Calibri"/>
      <family val="2"/>
      <scheme val="minor"/>
    </font>
    <font>
      <b/>
      <sz val="12"/>
      <color rgb="FF2C6E8E"/>
      <name val="Calibri"/>
      <family val="2"/>
      <scheme val="minor"/>
    </font>
    <font>
      <b/>
      <sz val="11"/>
      <color rgb="FFFFFFFF"/>
      <name val="Calibri"/>
      <family val="2"/>
      <scheme val="minor"/>
    </font>
    <font>
      <sz val="11"/>
      <color rgb="FF8B2A1A"/>
      <name val="Calibri"/>
      <family val="2"/>
      <scheme val="minor"/>
    </font>
    <font>
      <sz val="11"/>
      <color rgb="FF2C5E43"/>
      <name val="Calibri"/>
      <family val="2"/>
      <scheme val="minor"/>
    </font>
    <font>
      <b/>
      <sz val="11"/>
      <color rgb="FF2C6E8E"/>
      <name val="Calibri"/>
      <family val="2"/>
      <scheme val="minor"/>
    </font>
    <font>
      <b/>
      <sz val="11"/>
      <color theme="1"/>
      <name val="Calibri"/>
      <family val="2"/>
      <scheme val="minor"/>
    </font>
  </fonts>
  <fills count="5">
    <fill>
      <patternFill patternType="none"/>
    </fill>
    <fill>
      <patternFill patternType="gray125"/>
    </fill>
    <fill>
      <patternFill patternType="solid">
        <fgColor rgb="FF2C6E8E"/>
        <bgColor indexed="64"/>
      </patternFill>
    </fill>
    <fill>
      <patternFill patternType="solid">
        <fgColor rgb="FFFDECEA"/>
        <bgColor indexed="64"/>
      </patternFill>
    </fill>
    <fill>
      <patternFill patternType="solid">
        <fgColor rgb="FFEAF4EE"/>
        <bgColor indexed="64"/>
      </patternFill>
    </fill>
  </fills>
  <borders count="6">
    <border>
      <left/>
      <right/>
      <top/>
      <bottom/>
      <diagonal/>
    </border>
    <border>
      <left/>
      <right/>
      <top/>
      <bottom style="medium">
        <color rgb="FF2C6E8E"/>
      </bottom>
      <diagonal/>
    </border>
    <border>
      <left style="thin">
        <color rgb="FFFFFFFF"/>
      </left>
      <right style="thin">
        <color rgb="FFFFFFFF"/>
      </right>
      <top style="thin">
        <color rgb="FFFFFFFF"/>
      </top>
      <bottom style="thin">
        <color rgb="FFFFFFFF"/>
      </bottom>
      <diagonal/>
    </border>
    <border>
      <left style="thin">
        <color rgb="FFDDDDDD"/>
      </left>
      <right style="thin">
        <color rgb="FFDDDDDD"/>
      </right>
      <top style="thin">
        <color rgb="FFDDDDDD"/>
      </top>
      <bottom style="thin">
        <color rgb="FFDDDDDD"/>
      </bottom>
      <diagonal/>
    </border>
    <border>
      <left style="thin">
        <color rgb="FFEEC4BC"/>
      </left>
      <right style="thin">
        <color rgb="FFEEC4BC"/>
      </right>
      <top style="thin">
        <color rgb="FFEEC4BC"/>
      </top>
      <bottom style="thin">
        <color rgb="FFEEC4BC"/>
      </bottom>
      <diagonal/>
    </border>
    <border>
      <left style="thin">
        <color rgb="FFC3DFCE"/>
      </left>
      <right style="thin">
        <color rgb="FFC3DFCE"/>
      </right>
      <top style="thin">
        <color rgb="FFC3DFCE"/>
      </top>
      <bottom style="thin">
        <color rgb="FFC3DFCE"/>
      </bottom>
      <diagonal/>
    </border>
  </borders>
  <cellStyleXfs count="1">
    <xf numFmtId="0" fontId="0" fillId="0" borderId="0"/>
  </cellStyleXfs>
  <cellXfs count="18">
    <xf numFmtId="0" fontId="0" fillId="0" borderId="0" xfId="0"/>
    <xf numFmtId="0" fontId="1" fillId="0" borderId="0" xfId="0" applyFont="1"/>
    <xf numFmtId="0" fontId="2" fillId="0" borderId="0" xfId="0" applyFont="1"/>
    <xf numFmtId="0" fontId="3" fillId="0" borderId="0" xfId="0" applyFont="1" applyAlignment="1">
      <alignment horizontal="center"/>
    </xf>
    <xf numFmtId="0" fontId="4" fillId="0" borderId="0" xfId="0" applyFont="1" applyAlignment="1">
      <alignment horizontal="center"/>
    </xf>
    <xf numFmtId="0" fontId="5" fillId="0" borderId="1" xfId="0" applyFont="1" applyBorder="1"/>
    <xf numFmtId="0" fontId="6" fillId="2" borderId="2" xfId="0" applyFont="1" applyFill="1" applyBorder="1" applyAlignment="1">
      <alignment horizontal="center" vertical="center" wrapText="1"/>
    </xf>
    <xf numFmtId="164" fontId="0" fillId="0" borderId="3" xfId="0" applyNumberFormat="1" applyBorder="1"/>
    <xf numFmtId="165" fontId="0" fillId="0" borderId="3" xfId="0" applyNumberFormat="1" applyBorder="1"/>
    <xf numFmtId="166" fontId="0" fillId="0" borderId="3" xfId="0" applyNumberFormat="1" applyBorder="1"/>
    <xf numFmtId="0" fontId="7" fillId="3" borderId="4" xfId="0" applyFont="1" applyFill="1" applyBorder="1" applyAlignment="1">
      <alignment vertical="top" wrapText="1"/>
    </xf>
    <xf numFmtId="0" fontId="0" fillId="0" borderId="3" xfId="0" applyBorder="1"/>
    <xf numFmtId="0" fontId="8" fillId="4" borderId="5" xfId="0" applyFont="1" applyFill="1" applyBorder="1" applyAlignment="1">
      <alignment vertical="top" wrapText="1"/>
    </xf>
    <xf numFmtId="167" fontId="0" fillId="0" borderId="3" xfId="0" applyNumberFormat="1" applyBorder="1"/>
    <xf numFmtId="168" fontId="0" fillId="0" borderId="3" xfId="0" applyNumberFormat="1" applyBorder="1"/>
    <xf numFmtId="0" fontId="9" fillId="0" borderId="3" xfId="0" applyFont="1" applyBorder="1" applyAlignment="1">
      <alignment horizontal="center" vertical="center"/>
    </xf>
    <xf numFmtId="0" fontId="10" fillId="0" borderId="3" xfId="0" applyFont="1" applyBorder="1" applyAlignment="1">
      <alignment vertical="top" wrapText="1"/>
    </xf>
    <xf numFmtId="0" fontId="0" fillId="0" borderId="3" xfId="0"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Chiffre d'affaires et marge nette</a:t>
            </a:r>
          </a:p>
        </c:rich>
      </c:tx>
      <c:layout/>
    </c:title>
    <c:plotArea>
      <c:layout/>
      <c:barChart>
        <c:barDir val="col"/>
        <c:grouping val="clustered"/>
        <c:ser>
          <c:idx val="0"/>
          <c:order val="0"/>
          <c:tx>
            <c:v>Chiffre d'affaires (USD)</c:v>
          </c:tx>
          <c:spPr>
            <a:solidFill>
              <a:srgbClr val="2C6E8E"/>
            </a:solidFill>
          </c:spPr>
          <c:cat>
            <c:numRef>
              <c:f>'1. Synthèse Direction'!$B$11:$B$15</c:f>
              <c:numCache>
                <c:formatCode>General</c:formatCode>
                <c:ptCount val="5"/>
                <c:pt idx="0">
                  <c:v>2021</c:v>
                </c:pt>
                <c:pt idx="1">
                  <c:v>2022</c:v>
                </c:pt>
                <c:pt idx="2">
                  <c:v>2023</c:v>
                </c:pt>
                <c:pt idx="3">
                  <c:v>2024</c:v>
                </c:pt>
                <c:pt idx="4">
                  <c:v>2025</c:v>
                </c:pt>
              </c:numCache>
            </c:numRef>
          </c:cat>
          <c:val>
            <c:numRef>
              <c:f>'1. Synthèse Direction'!$C$11:$C$15</c:f>
              <c:numCache>
                <c:formatCode>General</c:formatCode>
                <c:ptCount val="5"/>
                <c:pt idx="0">
                  <c:v>228634.06</c:v>
                </c:pt>
                <c:pt idx="1">
                  <c:v>346303.93</c:v>
                </c:pt>
                <c:pt idx="2">
                  <c:v>492486.39</c:v>
                </c:pt>
                <c:pt idx="3">
                  <c:v>609230.78</c:v>
                </c:pt>
                <c:pt idx="4">
                  <c:v>709171.1</c:v>
                </c:pt>
              </c:numCache>
            </c:numRef>
          </c:val>
        </c:ser>
        <c:axId val="50010001"/>
        <c:axId val="50010002"/>
      </c:barChart>
      <c:lineChart>
        <c:grouping val="standard"/>
        <c:ser>
          <c:idx val="1"/>
          <c:order val="1"/>
          <c:tx>
            <c:v>Marge nette (%)</c:v>
          </c:tx>
          <c:spPr>
            <a:ln w="31750">
              <a:solidFill>
                <a:srgbClr val="E8A33D"/>
              </a:solidFill>
            </a:ln>
          </c:spPr>
          <c:marker>
            <c:symbol val="circle"/>
            <c:size val="6"/>
            <c:spPr>
              <a:solidFill>
                <a:srgbClr val="E8A33D"/>
              </a:solidFill>
            </c:spPr>
          </c:marker>
          <c:cat>
            <c:numRef>
              <c:f>'1. Synthèse Direction'!$B$11:$B$15</c:f>
              <c:numCache>
                <c:formatCode>General</c:formatCode>
                <c:ptCount val="5"/>
                <c:pt idx="0">
                  <c:v>2021</c:v>
                </c:pt>
                <c:pt idx="1">
                  <c:v>2022</c:v>
                </c:pt>
                <c:pt idx="2">
                  <c:v>2023</c:v>
                </c:pt>
                <c:pt idx="3">
                  <c:v>2024</c:v>
                </c:pt>
                <c:pt idx="4">
                  <c:v>2025</c:v>
                </c:pt>
              </c:numCache>
            </c:numRef>
          </c:cat>
          <c:val>
            <c:numRef>
              <c:f>'1. Synthèse Direction'!$G$11:$G$15</c:f>
              <c:numCache>
                <c:formatCode>General</c:formatCode>
                <c:ptCount val="5"/>
                <c:pt idx="0">
                  <c:v>29.37669041961639</c:v>
                </c:pt>
                <c:pt idx="1">
                  <c:v>29.08313515240788</c:v>
                </c:pt>
                <c:pt idx="2">
                  <c:v>28.55082959754482</c:v>
                </c:pt>
                <c:pt idx="3">
                  <c:v>28.63678850894566</c:v>
                </c:pt>
                <c:pt idx="4">
                  <c:v>28.63846961614765</c:v>
                </c:pt>
              </c:numCache>
            </c:numRef>
          </c:val>
        </c:ser>
        <c:marker val="1"/>
        <c:axId val="60010001"/>
        <c:axId val="60010002"/>
      </c:lineChart>
      <c:catAx>
        <c:axId val="50010001"/>
        <c:scaling>
          <c:orientation val="minMax"/>
        </c:scaling>
        <c:axPos val="b"/>
        <c:numFmt formatCode="General" sourceLinked="1"/>
        <c:tickLblPos val="nextTo"/>
        <c:crossAx val="50010002"/>
        <c:crosses val="autoZero"/>
        <c:auto val="1"/>
        <c:lblAlgn val="ctr"/>
        <c:lblOffset val="100"/>
      </c:catAx>
      <c:valAx>
        <c:axId val="50010002"/>
        <c:scaling>
          <c:orientation val="minMax"/>
        </c:scaling>
        <c:axPos val="l"/>
        <c:majorGridlines/>
        <c:title>
          <c:tx>
            <c:rich>
              <a:bodyPr/>
              <a:lstStyle/>
              <a:p>
                <a:pPr>
                  <a:defRPr/>
                </a:pPr>
                <a:r>
                  <a:rPr lang="en-US"/>
                  <a:t>CA (USD)</a:t>
                </a:r>
              </a:p>
            </c:rich>
          </c:tx>
          <c:layout/>
        </c:title>
        <c:numFmt formatCode="General" sourceLinked="1"/>
        <c:tickLblPos val="nextTo"/>
        <c:crossAx val="50010001"/>
        <c:crosses val="autoZero"/>
        <c:crossBetween val="between"/>
      </c:valAx>
      <c:valAx>
        <c:axId val="60010002"/>
        <c:scaling>
          <c:orientation val="minMax"/>
        </c:scaling>
        <c:axPos val="r"/>
        <c:numFmt formatCode="General" sourceLinked="1"/>
        <c:tickLblPos val="nextTo"/>
        <c:crossAx val="60010001"/>
        <c:crosses val="max"/>
        <c:crossBetween val="between"/>
      </c:valAx>
      <c:catAx>
        <c:axId val="60010001"/>
        <c:scaling>
          <c:orientation val="minMax"/>
        </c:scaling>
        <c:delete val="1"/>
        <c:axPos val="b"/>
        <c:numFmt formatCode="General" sourceLinked="1"/>
        <c:tickLblPos val="none"/>
        <c:crossAx val="60010002"/>
        <c:crosses val="autoZero"/>
        <c:auto val="1"/>
        <c:lblAlgn val="ctr"/>
        <c:lblOffset val="100"/>
      </c:catAx>
    </c:plotArea>
    <c:legend>
      <c:legendPos val="b"/>
      <c:layout/>
    </c:legend>
    <c:plotVisOnly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CA par canal de vente</a:t>
            </a:r>
          </a:p>
        </c:rich>
      </c:tx>
      <c:layout/>
    </c:title>
    <c:plotArea>
      <c:layout/>
      <c:barChart>
        <c:barDir val="bar"/>
        <c:grouping val="clustered"/>
        <c:ser>
          <c:idx val="0"/>
          <c:order val="0"/>
          <c:tx>
            <c:v>CA par canal de vente</c:v>
          </c:tx>
          <c:spPr>
            <a:solidFill>
              <a:srgbClr val="2C6E8E"/>
            </a:solidFill>
          </c:spPr>
          <c:cat>
            <c:strRef>
              <c:f>'3. Ventes'!$B$8:$B$13</c:f>
              <c:strCache>
                <c:ptCount val="6"/>
                <c:pt idx="0">
                  <c:v>Boutique Physique</c:v>
                </c:pt>
                <c:pt idx="1">
                  <c:v>Facebook</c:v>
                </c:pt>
                <c:pt idx="2">
                  <c:v>Site E-commerce</c:v>
                </c:pt>
                <c:pt idx="3">
                  <c:v>WhatsApp Business</c:v>
                </c:pt>
                <c:pt idx="4">
                  <c:v>Instagram</c:v>
                </c:pt>
                <c:pt idx="5">
                  <c:v>Commercial Terrain</c:v>
                </c:pt>
              </c:strCache>
            </c:strRef>
          </c:cat>
          <c:val>
            <c:numRef>
              <c:f>'3. Ventes'!$C$8:$C$13</c:f>
              <c:numCache>
                <c:formatCode>General</c:formatCode>
                <c:ptCount val="6"/>
                <c:pt idx="0">
                  <c:v>914175.34</c:v>
                </c:pt>
                <c:pt idx="1">
                  <c:v>361576.73</c:v>
                </c:pt>
                <c:pt idx="2">
                  <c:v>334985.78</c:v>
                </c:pt>
                <c:pt idx="3">
                  <c:v>334907.7</c:v>
                </c:pt>
                <c:pt idx="4">
                  <c:v>320656.83</c:v>
                </c:pt>
                <c:pt idx="5">
                  <c:v>119523.88</c:v>
                </c:pt>
              </c:numCache>
            </c:numRef>
          </c:val>
        </c:ser>
        <c:axId val="50020001"/>
        <c:axId val="50020002"/>
      </c:barChart>
      <c:catAx>
        <c:axId val="50020001"/>
        <c:scaling>
          <c:orientation val="minMax"/>
        </c:scaling>
        <c:axPos val="l"/>
        <c:tickLblPos val="nextTo"/>
        <c:crossAx val="50020002"/>
        <c:crosses val="autoZero"/>
        <c:auto val="1"/>
        <c:lblAlgn val="ctr"/>
        <c:lblOffset val="100"/>
      </c:catAx>
      <c:valAx>
        <c:axId val="50020002"/>
        <c:scaling>
          <c:orientation val="minMax"/>
        </c:scaling>
        <c:axPos val="b"/>
        <c:majorGridlines/>
        <c:numFmt formatCode="General" sourceLinked="1"/>
        <c:tickLblPos val="nextTo"/>
        <c:crossAx val="50020001"/>
        <c:crosses val="autoZero"/>
        <c:crossBetween val="between"/>
      </c:valAx>
    </c:plotArea>
    <c:plotVisOnly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CA par boutique</a:t>
            </a:r>
          </a:p>
        </c:rich>
      </c:tx>
      <c:layout/>
    </c:title>
    <c:plotArea>
      <c:layout/>
      <c:barChart>
        <c:barDir val="bar"/>
        <c:grouping val="clustered"/>
        <c:ser>
          <c:idx val="0"/>
          <c:order val="0"/>
          <c:tx>
            <c:v>CA par boutique</c:v>
          </c:tx>
          <c:spPr>
            <a:solidFill>
              <a:srgbClr val="2C6E8E"/>
            </a:solidFill>
          </c:spPr>
          <c:cat>
            <c:strRef>
              <c:f>'3. Ventes'!$B$31:$B$42</c:f>
              <c:strCache>
                <c:ptCount val="12"/>
                <c:pt idx="0">
                  <c:v>GongoTopFashion E-commerce</c:v>
                </c:pt>
                <c:pt idx="1">
                  <c:v>GongoTopFashion Kinshasa Limete</c:v>
                </c:pt>
                <c:pt idx="2">
                  <c:v>GongoTopFashion Kinshasa Gombe</c:v>
                </c:pt>
                <c:pt idx="3">
                  <c:v>GongoTopFashion Goma Goma</c:v>
                </c:pt>
                <c:pt idx="4">
                  <c:v>GongoTopFashion Kinshasa Masina</c:v>
                </c:pt>
                <c:pt idx="5">
                  <c:v>GongoTopFashion Matadi Matadi</c:v>
                </c:pt>
                <c:pt idx="6">
                  <c:v>GongoTopFashion Bukavu Ibanda</c:v>
                </c:pt>
                <c:pt idx="7">
                  <c:v>GongoTopFashion Kinshasa Ngaliema</c:v>
                </c:pt>
                <c:pt idx="8">
                  <c:v>GongoTopFashion Lubumbashi Lubumbashi</c:v>
                </c:pt>
                <c:pt idx="9">
                  <c:v>GongoTopFashion Kinshasa Kintambo</c:v>
                </c:pt>
                <c:pt idx="10">
                  <c:v>GongoTopFashion Mbuji-Mayi Dibindi</c:v>
                </c:pt>
                <c:pt idx="11">
                  <c:v>GongoTopFashion Kolwezi Manika</c:v>
                </c:pt>
              </c:strCache>
            </c:strRef>
          </c:cat>
          <c:val>
            <c:numRef>
              <c:f>'3. Ventes'!$C$31:$C$42</c:f>
              <c:numCache>
                <c:formatCode>General</c:formatCode>
                <c:ptCount val="12"/>
                <c:pt idx="0">
                  <c:v>1352127.04</c:v>
                </c:pt>
                <c:pt idx="1">
                  <c:v>145896.42</c:v>
                </c:pt>
                <c:pt idx="2">
                  <c:v>125748.61</c:v>
                </c:pt>
                <c:pt idx="3">
                  <c:v>100927.46</c:v>
                </c:pt>
                <c:pt idx="4">
                  <c:v>98250.00999999999</c:v>
                </c:pt>
                <c:pt idx="5">
                  <c:v>93722.28</c:v>
                </c:pt>
                <c:pt idx="6">
                  <c:v>93550.28999999999</c:v>
                </c:pt>
                <c:pt idx="7">
                  <c:v>91560.5</c:v>
                </c:pt>
                <c:pt idx="8">
                  <c:v>87571.14999999999</c:v>
                </c:pt>
                <c:pt idx="9">
                  <c:v>84377.12</c:v>
                </c:pt>
                <c:pt idx="10">
                  <c:v>63806.49</c:v>
                </c:pt>
                <c:pt idx="11">
                  <c:v>48288.89</c:v>
                </c:pt>
              </c:numCache>
            </c:numRef>
          </c:val>
        </c:ser>
        <c:axId val="50030001"/>
        <c:axId val="50030002"/>
      </c:barChart>
      <c:catAx>
        <c:axId val="50030001"/>
        <c:scaling>
          <c:orientation val="minMax"/>
        </c:scaling>
        <c:axPos val="l"/>
        <c:tickLblPos val="nextTo"/>
        <c:crossAx val="50030002"/>
        <c:crosses val="autoZero"/>
        <c:auto val="1"/>
        <c:lblAlgn val="ctr"/>
        <c:lblOffset val="100"/>
      </c:catAx>
      <c:valAx>
        <c:axId val="50030002"/>
        <c:scaling>
          <c:orientation val="minMax"/>
        </c:scaling>
        <c:axPos val="b"/>
        <c:majorGridlines/>
        <c:numFmt formatCode="General" sourceLinked="1"/>
        <c:tickLblPos val="nextTo"/>
        <c:crossAx val="50030001"/>
        <c:crosses val="autoZero"/>
        <c:crossBetween val="between"/>
      </c:valAx>
    </c:plotArea>
    <c:plotVisOnly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CA par catégorie</a:t>
            </a:r>
          </a:p>
        </c:rich>
      </c:tx>
      <c:layout/>
    </c:title>
    <c:plotArea>
      <c:layout/>
      <c:barChart>
        <c:barDir val="bar"/>
        <c:grouping val="clustered"/>
        <c:ser>
          <c:idx val="0"/>
          <c:order val="0"/>
          <c:tx>
            <c:v>CA par catégorie</c:v>
          </c:tx>
          <c:spPr>
            <a:solidFill>
              <a:srgbClr val="2C6E8E"/>
            </a:solidFill>
          </c:spPr>
          <c:cat>
            <c:strRef>
              <c:f>'3. Ventes'!$B$63:$B$73</c:f>
              <c:strCache>
                <c:ptCount val="11"/>
                <c:pt idx="0">
                  <c:v>Vêtements Femme</c:v>
                </c:pt>
                <c:pt idx="1">
                  <c:v>Vêtements Homme</c:v>
                </c:pt>
                <c:pt idx="2">
                  <c:v>Chaussures Homme</c:v>
                </c:pt>
                <c:pt idx="3">
                  <c:v>Prêt-à-Porter Traditionnel</c:v>
                </c:pt>
                <c:pt idx="4">
                  <c:v>Sacs &amp; Maroquinerie</c:v>
                </c:pt>
                <c:pt idx="5">
                  <c:v>Chaussures Femme</c:v>
                </c:pt>
                <c:pt idx="6">
                  <c:v>Parfums &amp; Cosmétiques</c:v>
                </c:pt>
                <c:pt idx="7">
                  <c:v>Accessoires de Mode</c:v>
                </c:pt>
                <c:pt idx="8">
                  <c:v>Vêtements Enfant</c:v>
                </c:pt>
                <c:pt idx="9">
                  <c:v>Uniformes Scolaires</c:v>
                </c:pt>
                <c:pt idx="10">
                  <c:v>Chaussures Enfant</c:v>
                </c:pt>
              </c:strCache>
            </c:strRef>
          </c:cat>
          <c:val>
            <c:numRef>
              <c:f>'3. Ventes'!$C$63:$C$73</c:f>
              <c:numCache>
                <c:formatCode>General</c:formatCode>
                <c:ptCount val="11"/>
                <c:pt idx="0">
                  <c:v>582094.46</c:v>
                </c:pt>
                <c:pt idx="1">
                  <c:v>517634.82</c:v>
                </c:pt>
                <c:pt idx="2">
                  <c:v>265486.44</c:v>
                </c:pt>
                <c:pt idx="3">
                  <c:v>231633.25</c:v>
                </c:pt>
                <c:pt idx="4">
                  <c:v>192869.29</c:v>
                </c:pt>
                <c:pt idx="5">
                  <c:v>178002.94</c:v>
                </c:pt>
                <c:pt idx="6">
                  <c:v>110594.97</c:v>
                </c:pt>
                <c:pt idx="7">
                  <c:v>109000.6</c:v>
                </c:pt>
                <c:pt idx="8">
                  <c:v>101022.75</c:v>
                </c:pt>
                <c:pt idx="9">
                  <c:v>55650.83</c:v>
                </c:pt>
                <c:pt idx="10">
                  <c:v>41835.91</c:v>
                </c:pt>
              </c:numCache>
            </c:numRef>
          </c:val>
        </c:ser>
        <c:axId val="50040001"/>
        <c:axId val="50040002"/>
      </c:barChart>
      <c:catAx>
        <c:axId val="50040001"/>
        <c:scaling>
          <c:orientation val="minMax"/>
        </c:scaling>
        <c:axPos val="l"/>
        <c:tickLblPos val="nextTo"/>
        <c:crossAx val="50040002"/>
        <c:crosses val="autoZero"/>
        <c:auto val="1"/>
        <c:lblAlgn val="ctr"/>
        <c:lblOffset val="100"/>
      </c:catAx>
      <c:valAx>
        <c:axId val="50040002"/>
        <c:scaling>
          <c:orientation val="minMax"/>
        </c:scaling>
        <c:axPos val="b"/>
        <c:majorGridlines/>
        <c:numFmt formatCode="General" sourceLinked="1"/>
        <c:tickLblPos val="nextTo"/>
        <c:crossAx val="50040001"/>
        <c:crosses val="autoZero"/>
        <c:crossBetween val="between"/>
      </c:valAx>
    </c:plotArea>
    <c:plotVisOnly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Top produits par CA</a:t>
            </a:r>
          </a:p>
        </c:rich>
      </c:tx>
      <c:layout/>
    </c:title>
    <c:plotArea>
      <c:layout/>
      <c:barChart>
        <c:barDir val="bar"/>
        <c:grouping val="clustered"/>
        <c:ser>
          <c:idx val="0"/>
          <c:order val="0"/>
          <c:tx>
            <c:v>Top produits par CA</c:v>
          </c:tx>
          <c:spPr>
            <a:solidFill>
              <a:srgbClr val="2C6E8E"/>
            </a:solidFill>
          </c:spPr>
          <c:cat>
            <c:strRef>
              <c:f>'4. Produits'!$B$14:$B$28</c:f>
              <c:strCache>
                <c:ptCount val="15"/>
                <c:pt idx="0">
                  <c:v>PRD0099</c:v>
                </c:pt>
                <c:pt idx="1">
                  <c:v>PRD0027</c:v>
                </c:pt>
                <c:pt idx="2">
                  <c:v>PRD0675</c:v>
                </c:pt>
                <c:pt idx="3">
                  <c:v>PRD0033</c:v>
                </c:pt>
                <c:pt idx="4">
                  <c:v>PRD0063</c:v>
                </c:pt>
                <c:pt idx="5">
                  <c:v>PRD0123</c:v>
                </c:pt>
                <c:pt idx="6">
                  <c:v>PRD0075</c:v>
                </c:pt>
                <c:pt idx="7">
                  <c:v>PRD0151</c:v>
                </c:pt>
                <c:pt idx="8">
                  <c:v>PRD0199</c:v>
                </c:pt>
                <c:pt idx="9">
                  <c:v>PRD0015</c:v>
                </c:pt>
                <c:pt idx="10">
                  <c:v>PRD0057</c:v>
                </c:pt>
                <c:pt idx="11">
                  <c:v>PRD0121</c:v>
                </c:pt>
                <c:pt idx="12">
                  <c:v>PRD0127</c:v>
                </c:pt>
                <c:pt idx="13">
                  <c:v>PRD0663</c:v>
                </c:pt>
                <c:pt idx="14">
                  <c:v>PRD0021</c:v>
                </c:pt>
              </c:strCache>
            </c:strRef>
          </c:cat>
          <c:val>
            <c:numRef>
              <c:f>'4. Produits'!$D$14:$D$28</c:f>
              <c:numCache>
                <c:formatCode>General</c:formatCode>
                <c:ptCount val="15"/>
                <c:pt idx="0">
                  <c:v>42924.17</c:v>
                </c:pt>
                <c:pt idx="1">
                  <c:v>39357.89</c:v>
                </c:pt>
                <c:pt idx="2">
                  <c:v>34494.91</c:v>
                </c:pt>
                <c:pt idx="3">
                  <c:v>32053.08</c:v>
                </c:pt>
                <c:pt idx="4">
                  <c:v>28077.32</c:v>
                </c:pt>
                <c:pt idx="5">
                  <c:v>26913.53</c:v>
                </c:pt>
                <c:pt idx="6">
                  <c:v>26447.11</c:v>
                </c:pt>
                <c:pt idx="7">
                  <c:v>26029.48</c:v>
                </c:pt>
                <c:pt idx="8">
                  <c:v>25334.56</c:v>
                </c:pt>
                <c:pt idx="9">
                  <c:v>24896.46</c:v>
                </c:pt>
                <c:pt idx="10">
                  <c:v>21658.68</c:v>
                </c:pt>
                <c:pt idx="11">
                  <c:v>19943.34</c:v>
                </c:pt>
                <c:pt idx="12">
                  <c:v>19554.49</c:v>
                </c:pt>
                <c:pt idx="13">
                  <c:v>19156.01</c:v>
                </c:pt>
                <c:pt idx="14">
                  <c:v>18132.56</c:v>
                </c:pt>
              </c:numCache>
            </c:numRef>
          </c:val>
        </c:ser>
        <c:axId val="50050001"/>
        <c:axId val="50050002"/>
      </c:barChart>
      <c:catAx>
        <c:axId val="50050001"/>
        <c:scaling>
          <c:orientation val="minMax"/>
        </c:scaling>
        <c:axPos val="l"/>
        <c:tickLblPos val="nextTo"/>
        <c:crossAx val="50050002"/>
        <c:crosses val="autoZero"/>
        <c:auto val="1"/>
        <c:lblAlgn val="ctr"/>
        <c:lblOffset val="100"/>
      </c:catAx>
      <c:valAx>
        <c:axId val="50050002"/>
        <c:scaling>
          <c:orientation val="minMax"/>
        </c:scaling>
        <c:axPos val="b"/>
        <c:majorGridlines/>
        <c:numFmt formatCode="General" sourceLinked="1"/>
        <c:tickLblPos val="nextTo"/>
        <c:crossAx val="50050001"/>
        <c:crosses val="autoZero"/>
        <c:crossBetween val="between"/>
      </c:valAx>
    </c:plotArea>
    <c:plotVisOnly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CA par marque</a:t>
            </a:r>
          </a:p>
        </c:rich>
      </c:tx>
      <c:layout/>
    </c:title>
    <c:plotArea>
      <c:layout/>
      <c:barChart>
        <c:barDir val="bar"/>
        <c:grouping val="clustered"/>
        <c:ser>
          <c:idx val="0"/>
          <c:order val="0"/>
          <c:tx>
            <c:v>CA par marque</c:v>
          </c:tx>
          <c:spPr>
            <a:solidFill>
              <a:srgbClr val="2C6E8E"/>
            </a:solidFill>
          </c:spPr>
          <c:cat>
            <c:strRef>
              <c:f>'4. Produits'!$B$52:$B$61</c:f>
              <c:strCache>
                <c:ptCount val="10"/>
                <c:pt idx="0">
                  <c:v>Maison Elikya</c:v>
                </c:pt>
                <c:pt idx="1">
                  <c:v>Royal Kongo</c:v>
                </c:pt>
                <c:pt idx="2">
                  <c:v>Barcelona Look</c:v>
                </c:pt>
                <c:pt idx="3">
                  <c:v>Zoba Style</c:v>
                </c:pt>
                <c:pt idx="4">
                  <c:v>Sapeur Elite</c:v>
                </c:pt>
                <c:pt idx="5">
                  <c:v>Wenge Denim</c:v>
                </c:pt>
                <c:pt idx="6">
                  <c:v>Prestige Kin</c:v>
                </c:pt>
                <c:pt idx="7">
                  <c:v>Speed Runner</c:v>
                </c:pt>
                <c:pt idx="8">
                  <c:v>Istanbul Fashion Co</c:v>
                </c:pt>
                <c:pt idx="9">
                  <c:v>Canton Textile</c:v>
                </c:pt>
              </c:strCache>
            </c:strRef>
          </c:cat>
          <c:val>
            <c:numRef>
              <c:f>'4. Produits'!$C$52:$C$61</c:f>
              <c:numCache>
                <c:formatCode>General</c:formatCode>
                <c:ptCount val="10"/>
                <c:pt idx="0">
                  <c:v>205142.41</c:v>
                </c:pt>
                <c:pt idx="1">
                  <c:v>167742.99</c:v>
                </c:pt>
                <c:pt idx="2">
                  <c:v>115838.75</c:v>
                </c:pt>
                <c:pt idx="3">
                  <c:v>106202.56</c:v>
                </c:pt>
                <c:pt idx="4">
                  <c:v>99528.91</c:v>
                </c:pt>
                <c:pt idx="5">
                  <c:v>95440.10000000001</c:v>
                </c:pt>
                <c:pt idx="6">
                  <c:v>93507.41</c:v>
                </c:pt>
                <c:pt idx="7">
                  <c:v>87276.12</c:v>
                </c:pt>
                <c:pt idx="8">
                  <c:v>71309.7</c:v>
                </c:pt>
                <c:pt idx="9">
                  <c:v>66785.56</c:v>
                </c:pt>
              </c:numCache>
            </c:numRef>
          </c:val>
        </c:ser>
        <c:axId val="50060001"/>
        <c:axId val="50060002"/>
      </c:barChart>
      <c:catAx>
        <c:axId val="50060001"/>
        <c:scaling>
          <c:orientation val="minMax"/>
        </c:scaling>
        <c:axPos val="l"/>
        <c:tickLblPos val="nextTo"/>
        <c:crossAx val="50060002"/>
        <c:crosses val="autoZero"/>
        <c:auto val="1"/>
        <c:lblAlgn val="ctr"/>
        <c:lblOffset val="100"/>
      </c:catAx>
      <c:valAx>
        <c:axId val="50060002"/>
        <c:scaling>
          <c:orientation val="minMax"/>
        </c:scaling>
        <c:axPos val="b"/>
        <c:majorGridlines/>
        <c:numFmt formatCode="General" sourceLinked="1"/>
        <c:tickLblPos val="nextTo"/>
        <c:crossAx val="50060001"/>
        <c:crosses val="autoZero"/>
        <c:crossBetween val="between"/>
      </c:valAx>
    </c:plotArea>
    <c:plotVisOnly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CA par segment RFM</a:t>
            </a:r>
          </a:p>
        </c:rich>
      </c:tx>
      <c:layout/>
    </c:title>
    <c:plotArea>
      <c:layout/>
      <c:barChart>
        <c:barDir val="bar"/>
        <c:grouping val="clustered"/>
        <c:ser>
          <c:idx val="0"/>
          <c:order val="0"/>
          <c:tx>
            <c:v>CA par segment RFM</c:v>
          </c:tx>
          <c:spPr>
            <a:solidFill>
              <a:srgbClr val="2C6E8E"/>
            </a:solidFill>
          </c:spPr>
          <c:cat>
            <c:strRef>
              <c:f>'5. Clients'!$B$8:$B$14</c:f>
              <c:strCache>
                <c:ptCount val="7"/>
                <c:pt idx="0">
                  <c:v>Champions</c:v>
                </c:pt>
                <c:pt idx="1">
                  <c:v>Clients Fidèles</c:v>
                </c:pt>
                <c:pt idx="2">
                  <c:v>Clients Réguliers</c:v>
                </c:pt>
                <c:pt idx="3">
                  <c:v>Clients Perdus</c:v>
                </c:pt>
                <c:pt idx="4">
                  <c:v>Clients à Risque</c:v>
                </c:pt>
                <c:pt idx="5">
                  <c:v>Nouveaux Clients</c:v>
                </c:pt>
                <c:pt idx="6">
                  <c:v>Sans Achat</c:v>
                </c:pt>
              </c:strCache>
            </c:strRef>
          </c:cat>
          <c:val>
            <c:numRef>
              <c:f>'5. Clients'!$D$8:$D$14</c:f>
              <c:numCache>
                <c:formatCode>General</c:formatCode>
                <c:ptCount val="7"/>
                <c:pt idx="0">
                  <c:v>1174512.79</c:v>
                </c:pt>
                <c:pt idx="1">
                  <c:v>669692.86</c:v>
                </c:pt>
                <c:pt idx="2">
                  <c:v>231975.73</c:v>
                </c:pt>
                <c:pt idx="3">
                  <c:v>127881.78</c:v>
                </c:pt>
                <c:pt idx="4">
                  <c:v>114794.5</c:v>
                </c:pt>
                <c:pt idx="5">
                  <c:v>66968.60000000001</c:v>
                </c:pt>
                <c:pt idx="6">
                  <c:v>0</c:v>
                </c:pt>
              </c:numCache>
            </c:numRef>
          </c:val>
        </c:ser>
        <c:axId val="50070001"/>
        <c:axId val="50070002"/>
      </c:barChart>
      <c:catAx>
        <c:axId val="50070001"/>
        <c:scaling>
          <c:orientation val="minMax"/>
        </c:scaling>
        <c:axPos val="l"/>
        <c:tickLblPos val="nextTo"/>
        <c:crossAx val="50070002"/>
        <c:crosses val="autoZero"/>
        <c:auto val="1"/>
        <c:lblAlgn val="ctr"/>
        <c:lblOffset val="100"/>
      </c:catAx>
      <c:valAx>
        <c:axId val="50070002"/>
        <c:scaling>
          <c:orientation val="minMax"/>
        </c:scaling>
        <c:axPos val="b"/>
        <c:majorGridlines/>
        <c:numFmt formatCode="General" sourceLinked="1"/>
        <c:tickLblPos val="nextTo"/>
        <c:crossAx val="50070001"/>
        <c:crosses val="autoZero"/>
        <c:crossBetween val="between"/>
      </c:valAx>
    </c:plotArea>
    <c:plotVisOnly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Taux de retard par transporteur</a:t>
            </a:r>
          </a:p>
        </c:rich>
      </c:tx>
      <c:layout/>
    </c:title>
    <c:plotArea>
      <c:layout/>
      <c:barChart>
        <c:barDir val="bar"/>
        <c:grouping val="clustered"/>
        <c:ser>
          <c:idx val="0"/>
          <c:order val="0"/>
          <c:tx>
            <c:v>Taux de retard par transporteur</c:v>
          </c:tx>
          <c:spPr>
            <a:solidFill>
              <a:srgbClr val="C1553D"/>
            </a:solidFill>
          </c:spPr>
          <c:cat>
            <c:strRef>
              <c:f>'6. Logistique-Retours'!$B$14:$B$17</c:f>
              <c:strCache>
                <c:ptCount val="4"/>
                <c:pt idx="0">
                  <c:v>Logistique Interne GTF</c:v>
                </c:pt>
                <c:pt idx="1">
                  <c:v>Partenaire Express Kin</c:v>
                </c:pt>
                <c:pt idx="2">
                  <c:v>Partenaire National RDC</c:v>
                </c:pt>
                <c:pt idx="3">
                  <c:v>Interne (Boutique)</c:v>
                </c:pt>
              </c:strCache>
            </c:strRef>
          </c:cat>
          <c:val>
            <c:numRef>
              <c:f>'6. Logistique-Retours'!$E$14:$E$17</c:f>
              <c:numCache>
                <c:formatCode>General</c:formatCode>
                <c:ptCount val="4"/>
                <c:pt idx="0">
                  <c:v>15.67386448250186</c:v>
                </c:pt>
                <c:pt idx="1">
                  <c:v>15.43545878693624</c:v>
                </c:pt>
                <c:pt idx="2">
                  <c:v>14.89277204130262</c:v>
                </c:pt>
                <c:pt idx="3">
                  <c:v>0</c:v>
                </c:pt>
              </c:numCache>
            </c:numRef>
          </c:val>
        </c:ser>
        <c:axId val="50080001"/>
        <c:axId val="50080002"/>
      </c:barChart>
      <c:catAx>
        <c:axId val="50080001"/>
        <c:scaling>
          <c:orientation val="minMax"/>
        </c:scaling>
        <c:axPos val="l"/>
        <c:tickLblPos val="nextTo"/>
        <c:crossAx val="50080002"/>
        <c:crosses val="autoZero"/>
        <c:auto val="1"/>
        <c:lblAlgn val="ctr"/>
        <c:lblOffset val="100"/>
      </c:catAx>
      <c:valAx>
        <c:axId val="50080002"/>
        <c:scaling>
          <c:orientation val="minMax"/>
        </c:scaling>
        <c:axPos val="b"/>
        <c:majorGridlines/>
        <c:numFmt formatCode="General" sourceLinked="1"/>
        <c:tickLblPos val="nextTo"/>
        <c:crossAx val="50080001"/>
        <c:crosses val="autoZero"/>
        <c:crossBetween val="between"/>
      </c:valAx>
    </c:plotArea>
    <c:plotVisOnly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Répartition des motifs de retour</a:t>
            </a:r>
          </a:p>
        </c:rich>
      </c:tx>
      <c:layout/>
    </c:title>
    <c:plotArea>
      <c:layout/>
      <c:barChart>
        <c:barDir val="bar"/>
        <c:grouping val="clustered"/>
        <c:ser>
          <c:idx val="0"/>
          <c:order val="0"/>
          <c:tx>
            <c:v>Répartition des motifs de retour</c:v>
          </c:tx>
          <c:spPr>
            <a:solidFill>
              <a:srgbClr val="C1553D"/>
            </a:solidFill>
          </c:spPr>
          <c:cat>
            <c:strRef>
              <c:f>'6. Logistique-Retours'!$B$35:$B$39</c:f>
              <c:strCache>
                <c:ptCount val="5"/>
                <c:pt idx="0">
                  <c:v>Problème de Taille</c:v>
                </c:pt>
                <c:pt idx="1">
                  <c:v>Produit Défectueux</c:v>
                </c:pt>
                <c:pt idx="2">
                  <c:v>Ne Convient Pas</c:v>
                </c:pt>
                <c:pt idx="3">
                  <c:v>Produit Endommagé au Transport</c:v>
                </c:pt>
                <c:pt idx="4">
                  <c:v>Erreur de Commande</c:v>
                </c:pt>
              </c:strCache>
            </c:strRef>
          </c:cat>
          <c:val>
            <c:numRef>
              <c:f>'6. Logistique-Retours'!$C$35:$C$39</c:f>
              <c:numCache>
                <c:formatCode>General</c:formatCode>
                <c:ptCount val="5"/>
                <c:pt idx="0">
                  <c:v>881</c:v>
                </c:pt>
                <c:pt idx="1">
                  <c:v>433</c:v>
                </c:pt>
                <c:pt idx="2">
                  <c:v>300</c:v>
                </c:pt>
                <c:pt idx="3">
                  <c:v>209</c:v>
                </c:pt>
                <c:pt idx="4">
                  <c:v>177</c:v>
                </c:pt>
              </c:numCache>
            </c:numRef>
          </c:val>
        </c:ser>
        <c:axId val="50090001"/>
        <c:axId val="50090002"/>
      </c:barChart>
      <c:catAx>
        <c:axId val="50090001"/>
        <c:scaling>
          <c:orientation val="minMax"/>
        </c:scaling>
        <c:axPos val="l"/>
        <c:tickLblPos val="nextTo"/>
        <c:crossAx val="50090002"/>
        <c:crosses val="autoZero"/>
        <c:auto val="1"/>
        <c:lblAlgn val="ctr"/>
        <c:lblOffset val="100"/>
      </c:catAx>
      <c:valAx>
        <c:axId val="50090002"/>
        <c:scaling>
          <c:orientation val="minMax"/>
        </c:scaling>
        <c:axPos val="b"/>
        <c:majorGridlines/>
        <c:numFmt formatCode="General" sourceLinked="1"/>
        <c:tickLblPos val="nextTo"/>
        <c:crossAx val="50090001"/>
        <c:crosses val="autoZero"/>
        <c:crossBetween val="between"/>
      </c:valAx>
    </c:plotArea>
    <c:plotVisOnly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ROAS réel par canal</a:t>
            </a:r>
          </a:p>
        </c:rich>
      </c:tx>
      <c:layout/>
    </c:title>
    <c:plotArea>
      <c:layout/>
      <c:barChart>
        <c:barDir val="bar"/>
        <c:grouping val="clustered"/>
        <c:ser>
          <c:idx val="0"/>
          <c:order val="0"/>
          <c:tx>
            <c:v>ROAS réel par canal</c:v>
          </c:tx>
          <c:spPr>
            <a:solidFill>
              <a:srgbClr val="5B9279"/>
            </a:solidFill>
          </c:spPr>
          <c:cat>
            <c:strRef>
              <c:f>'7. Marketing'!$B$8:$B$15</c:f>
              <c:strCache>
                <c:ptCount val="8"/>
                <c:pt idx="0">
                  <c:v>WhatsApp Business</c:v>
                </c:pt>
                <c:pt idx="1">
                  <c:v>Google Ads</c:v>
                </c:pt>
                <c:pt idx="2">
                  <c:v>Instagram</c:v>
                </c:pt>
                <c:pt idx="3">
                  <c:v>Facebook</c:v>
                </c:pt>
                <c:pt idx="4">
                  <c:v>Site Web</c:v>
                </c:pt>
                <c:pt idx="5">
                  <c:v>Affichage</c:v>
                </c:pt>
                <c:pt idx="6">
                  <c:v>SMS</c:v>
                </c:pt>
                <c:pt idx="7">
                  <c:v>Radio</c:v>
                </c:pt>
              </c:strCache>
            </c:strRef>
          </c:cat>
          <c:val>
            <c:numRef>
              <c:f>'7. Marketing'!$F$8:$F$15</c:f>
              <c:numCache>
                <c:formatCode>General</c:formatCode>
                <c:ptCount val="8"/>
                <c:pt idx="0">
                  <c:v>9.654366708123012</c:v>
                </c:pt>
                <c:pt idx="1">
                  <c:v>8.160200742807193</c:v>
                </c:pt>
                <c:pt idx="2">
                  <c:v>7.625193207894251</c:v>
                </c:pt>
                <c:pt idx="3">
                  <c:v>7.005915458675008</c:v>
                </c:pt>
                <c:pt idx="4">
                  <c:v>6.978222322497411</c:v>
                </c:pt>
                <c:pt idx="5">
                  <c:v>1.973254052785939</c:v>
                </c:pt>
                <c:pt idx="6">
                  <c:v>1.791779871050834</c:v>
                </c:pt>
                <c:pt idx="7">
                  <c:v>1.647819350148868</c:v>
                </c:pt>
              </c:numCache>
            </c:numRef>
          </c:val>
        </c:ser>
        <c:axId val="50100001"/>
        <c:axId val="50100002"/>
      </c:barChart>
      <c:catAx>
        <c:axId val="50100001"/>
        <c:scaling>
          <c:orientation val="minMax"/>
        </c:scaling>
        <c:axPos val="l"/>
        <c:tickLblPos val="nextTo"/>
        <c:crossAx val="50100002"/>
        <c:crosses val="autoZero"/>
        <c:auto val="1"/>
        <c:lblAlgn val="ctr"/>
        <c:lblOffset val="100"/>
      </c:catAx>
      <c:valAx>
        <c:axId val="50100002"/>
        <c:scaling>
          <c:orientation val="minMax"/>
        </c:scaling>
        <c:axPos val="b"/>
        <c:majorGridlines/>
        <c:numFmt formatCode="General" sourceLinked="1"/>
        <c:tickLblPos val="nextTo"/>
        <c:crossAx val="50100001"/>
        <c:crosses val="autoZero"/>
        <c:crossBetween val="between"/>
      </c:valAx>
    </c:plotArea>
    <c:plotVisOnly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Taux de réalisation des objectifs</a:t>
            </a:r>
          </a:p>
        </c:rich>
      </c:tx>
      <c:layout/>
    </c:title>
    <c:plotArea>
      <c:layout/>
      <c:barChart>
        <c:barDir val="bar"/>
        <c:grouping val="clustered"/>
        <c:ser>
          <c:idx val="0"/>
          <c:order val="0"/>
          <c:tx>
            <c:v>Taux de réalisation des objectifs</c:v>
          </c:tx>
          <c:spPr>
            <a:solidFill>
              <a:srgbClr val="C1553D"/>
            </a:solidFill>
          </c:spPr>
          <c:cat>
            <c:strRef>
              <c:f>'9. Objectifs-Prévision'!$B$8:$B$19</c:f>
              <c:strCache>
                <c:ptCount val="12"/>
                <c:pt idx="0">
                  <c:v>GongoTopFashion Kinshasa Gombe</c:v>
                </c:pt>
                <c:pt idx="1">
                  <c:v>GongoTopFashion Lubumbashi Lubumbashi</c:v>
                </c:pt>
                <c:pt idx="2">
                  <c:v>GongoTopFashion Mbuji-Mayi Dibindi</c:v>
                </c:pt>
                <c:pt idx="3">
                  <c:v>GongoTopFashion Goma Goma</c:v>
                </c:pt>
                <c:pt idx="4">
                  <c:v>GongoTopFashion Kinshasa Kintambo</c:v>
                </c:pt>
                <c:pt idx="5">
                  <c:v>GongoTopFashion Kolwezi Manika</c:v>
                </c:pt>
                <c:pt idx="6">
                  <c:v>GongoTopFashion Kinshasa Ngaliema</c:v>
                </c:pt>
                <c:pt idx="7">
                  <c:v>GongoTopFashion Bukavu Ibanda</c:v>
                </c:pt>
                <c:pt idx="8">
                  <c:v>GongoTopFashion Matadi Matadi</c:v>
                </c:pt>
                <c:pt idx="9">
                  <c:v>GongoTopFashion Kinshasa Masina</c:v>
                </c:pt>
                <c:pt idx="10">
                  <c:v>GongoTopFashion Kinshasa Limete</c:v>
                </c:pt>
                <c:pt idx="11">
                  <c:v>GongoTopFashion E-commerce</c:v>
                </c:pt>
              </c:strCache>
            </c:strRef>
          </c:cat>
          <c:val>
            <c:numRef>
              <c:f>'9. Objectifs-Prévision'!$E$8:$E$19</c:f>
              <c:numCache>
                <c:formatCode>General</c:formatCode>
                <c:ptCount val="12"/>
                <c:pt idx="0">
                  <c:v>3.94023343986965</c:v>
                </c:pt>
                <c:pt idx="1">
                  <c:v>5.612671768445879</c:v>
                </c:pt>
                <c:pt idx="2">
                  <c:v>6.326996073298428</c:v>
                </c:pt>
                <c:pt idx="3">
                  <c:v>6.468713787622417</c:v>
                </c:pt>
                <c:pt idx="4">
                  <c:v>6.609726138998558</c:v>
                </c:pt>
                <c:pt idx="5">
                  <c:v>6.954846468487153</c:v>
                </c:pt>
                <c:pt idx="6">
                  <c:v>7.172439994986527</c:v>
                </c:pt>
                <c:pt idx="7">
                  <c:v>7.217050083317904</c:v>
                </c:pt>
                <c:pt idx="8">
                  <c:v>7.230318459544528</c:v>
                </c:pt>
                <c:pt idx="9">
                  <c:v>7.696466284389296</c:v>
                </c:pt>
                <c:pt idx="10">
                  <c:v>11.42887290844144</c:v>
                </c:pt>
                <c:pt idx="11">
                  <c:v>31.77587516450461</c:v>
                </c:pt>
              </c:numCache>
            </c:numRef>
          </c:val>
        </c:ser>
        <c:axId val="50110001"/>
        <c:axId val="50110002"/>
      </c:barChart>
      <c:catAx>
        <c:axId val="50110001"/>
        <c:scaling>
          <c:orientation val="minMax"/>
        </c:scaling>
        <c:axPos val="l"/>
        <c:tickLblPos val="nextTo"/>
        <c:crossAx val="50110002"/>
        <c:crosses val="autoZero"/>
        <c:auto val="1"/>
        <c:lblAlgn val="ctr"/>
        <c:lblOffset val="100"/>
      </c:catAx>
      <c:valAx>
        <c:axId val="50110002"/>
        <c:scaling>
          <c:orientation val="minMax"/>
        </c:scaling>
        <c:axPos val="b"/>
        <c:majorGridlines/>
        <c:numFmt formatCode="General" sourceLinked="1"/>
        <c:tickLblPos val="nextTo"/>
        <c:crossAx val="50110001"/>
        <c:crosses val="autoZero"/>
        <c:crossBetween val="between"/>
      </c:valAx>
    </c:plotArea>
    <c:plotVisOnly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CA prévisionnel 2026</a:t>
            </a:r>
          </a:p>
        </c:rich>
      </c:tx>
      <c:layout/>
    </c:title>
    <c:plotArea>
      <c:layout/>
      <c:barChart>
        <c:barDir val="col"/>
        <c:grouping val="clustered"/>
        <c:ser>
          <c:idx val="0"/>
          <c:order val="0"/>
          <c:tx>
            <c:v>CA prévisionnel 2026</c:v>
          </c:tx>
          <c:spPr>
            <a:solidFill>
              <a:srgbClr val="2C6E8E"/>
            </a:solidFill>
          </c:spPr>
          <c:cat>
            <c:strRef>
              <c:f>'9. Objectifs-Prévision'!$B$40:$B$51</c:f>
              <c:strCache>
                <c:ptCount val="12"/>
                <c:pt idx="0">
                  <c:v>2026-01</c:v>
                </c:pt>
                <c:pt idx="1">
                  <c:v>2026-02</c:v>
                </c:pt>
                <c:pt idx="2">
                  <c:v>2026-03</c:v>
                </c:pt>
                <c:pt idx="3">
                  <c:v>2026-04</c:v>
                </c:pt>
                <c:pt idx="4">
                  <c:v>2026-05</c:v>
                </c:pt>
                <c:pt idx="5">
                  <c:v>2026-06</c:v>
                </c:pt>
                <c:pt idx="6">
                  <c:v>2026-07</c:v>
                </c:pt>
                <c:pt idx="7">
                  <c:v>2026-08</c:v>
                </c:pt>
                <c:pt idx="8">
                  <c:v>2026-09</c:v>
                </c:pt>
                <c:pt idx="9">
                  <c:v>2026-10</c:v>
                </c:pt>
                <c:pt idx="10">
                  <c:v>2026-11</c:v>
                </c:pt>
                <c:pt idx="11">
                  <c:v>2026-12</c:v>
                </c:pt>
              </c:strCache>
            </c:strRef>
          </c:cat>
          <c:val>
            <c:numRef>
              <c:f>'9. Objectifs-Prévision'!$C$40:$C$51</c:f>
              <c:numCache>
                <c:formatCode>General</c:formatCode>
                <c:ptCount val="12"/>
                <c:pt idx="0">
                  <c:v>60103.16909955713</c:v>
                </c:pt>
                <c:pt idx="1">
                  <c:v>75991.24020164319</c:v>
                </c:pt>
                <c:pt idx="2">
                  <c:v>67039.94651209119</c:v>
                </c:pt>
                <c:pt idx="3">
                  <c:v>60231.49162122971</c:v>
                </c:pt>
                <c:pt idx="4">
                  <c:v>57440.02110710147</c:v>
                </c:pt>
                <c:pt idx="5">
                  <c:v>68646.25979763622</c:v>
                </c:pt>
                <c:pt idx="6">
                  <c:v>62606.54902490956</c:v>
                </c:pt>
                <c:pt idx="7">
                  <c:v>72031.88428667821</c:v>
                </c:pt>
                <c:pt idx="8">
                  <c:v>79651.61224912913</c:v>
                </c:pt>
                <c:pt idx="9">
                  <c:v>70141.12673786734</c:v>
                </c:pt>
                <c:pt idx="10">
                  <c:v>86968.54649169021</c:v>
                </c:pt>
                <c:pt idx="11">
                  <c:v>113203.7475741524</c:v>
                </c:pt>
              </c:numCache>
            </c:numRef>
          </c:val>
        </c:ser>
        <c:axId val="50120001"/>
        <c:axId val="50120002"/>
      </c:barChart>
      <c:catAx>
        <c:axId val="50120001"/>
        <c:scaling>
          <c:orientation val="minMax"/>
        </c:scaling>
        <c:axPos val="b"/>
        <c:tickLblPos val="nextTo"/>
        <c:crossAx val="50120002"/>
        <c:crosses val="autoZero"/>
        <c:auto val="1"/>
        <c:lblAlgn val="ctr"/>
        <c:lblOffset val="100"/>
      </c:catAx>
      <c:valAx>
        <c:axId val="50120002"/>
        <c:scaling>
          <c:orientation val="minMax"/>
        </c:scaling>
        <c:axPos val="l"/>
        <c:majorGridlines/>
        <c:numFmt formatCode="General" sourceLinked="1"/>
        <c:tickLblPos val="nextTo"/>
        <c:crossAx val="50120001"/>
        <c:crosses val="autoZero"/>
        <c:crossBetween val="between"/>
      </c:valAx>
    </c:plotArea>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 Id="rId3"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 Id="rId2"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 Id="rId2"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1</xdr:col>
      <xdr:colOff>0</xdr:colOff>
      <xdr:row>17</xdr:row>
      <xdr:rowOff>0</xdr:rowOff>
    </xdr:from>
    <xdr:to>
      <xdr:col>7</xdr:col>
      <xdr:colOff>542925</xdr:colOff>
      <xdr:row>33</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14</xdr:row>
      <xdr:rowOff>0</xdr:rowOff>
    </xdr:from>
    <xdr:to>
      <xdr:col>6</xdr:col>
      <xdr:colOff>28575</xdr:colOff>
      <xdr:row>22</xdr:row>
      <xdr:rowOff>114300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43</xdr:row>
      <xdr:rowOff>0</xdr:rowOff>
    </xdr:from>
    <xdr:to>
      <xdr:col>6</xdr:col>
      <xdr:colOff>28575</xdr:colOff>
      <xdr:row>58</xdr:row>
      <xdr:rowOff>38100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74</xdr:row>
      <xdr:rowOff>0</xdr:rowOff>
    </xdr:from>
    <xdr:to>
      <xdr:col>6</xdr:col>
      <xdr:colOff>28575</xdr:colOff>
      <xdr:row>88</xdr:row>
      <xdr:rowOff>19050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29</xdr:row>
      <xdr:rowOff>0</xdr:rowOff>
    </xdr:from>
    <xdr:to>
      <xdr:col>5</xdr:col>
      <xdr:colOff>609600</xdr:colOff>
      <xdr:row>47</xdr:row>
      <xdr:rowOff>95250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62</xdr:row>
      <xdr:rowOff>0</xdr:rowOff>
    </xdr:from>
    <xdr:to>
      <xdr:col>5</xdr:col>
      <xdr:colOff>609600</xdr:colOff>
      <xdr:row>75</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15</xdr:row>
      <xdr:rowOff>0</xdr:rowOff>
    </xdr:from>
    <xdr:to>
      <xdr:col>5</xdr:col>
      <xdr:colOff>276225</xdr:colOff>
      <xdr:row>24</xdr:row>
      <xdr:rowOff>133350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18</xdr:row>
      <xdr:rowOff>0</xdr:rowOff>
    </xdr:from>
    <xdr:to>
      <xdr:col>5</xdr:col>
      <xdr:colOff>142875</xdr:colOff>
      <xdr:row>24</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40</xdr:row>
      <xdr:rowOff>0</xdr:rowOff>
    </xdr:from>
    <xdr:to>
      <xdr:col>5</xdr:col>
      <xdr:colOff>142875</xdr:colOff>
      <xdr:row>47</xdr:row>
      <xdr:rowOff>95250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0</xdr:colOff>
      <xdr:row>16</xdr:row>
      <xdr:rowOff>0</xdr:rowOff>
    </xdr:from>
    <xdr:to>
      <xdr:col>5</xdr:col>
      <xdr:colOff>676275</xdr:colOff>
      <xdr:row>26</xdr:row>
      <xdr:rowOff>152400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0</xdr:colOff>
      <xdr:row>20</xdr:row>
      <xdr:rowOff>0</xdr:rowOff>
    </xdr:from>
    <xdr:to>
      <xdr:col>5</xdr:col>
      <xdr:colOff>542925</xdr:colOff>
      <xdr:row>35</xdr:row>
      <xdr:rowOff>38100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52</xdr:row>
      <xdr:rowOff>0</xdr:rowOff>
    </xdr:from>
    <xdr:to>
      <xdr:col>5</xdr:col>
      <xdr:colOff>542925</xdr:colOff>
      <xdr:row>67</xdr:row>
      <xdr:rowOff>38100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dimension ref="B2:I43"/>
  <sheetViews>
    <sheetView showGridLines="0" tabSelected="1" workbookViewId="0"/>
  </sheetViews>
  <sheetFormatPr defaultRowHeight="15"/>
  <cols>
    <col min="1" max="1" width="2.7109375" customWidth="1"/>
    <col min="2" max="2" width="10.7109375" customWidth="1"/>
    <col min="3" max="4" width="15.7109375" customWidth="1"/>
    <col min="5" max="6" width="14.7109375" customWidth="1"/>
    <col min="7" max="7" width="11.7109375" customWidth="1"/>
    <col min="8" max="8" width="14.7109375" customWidth="1"/>
    <col min="9" max="9" width="17.7109375" customWidth="1"/>
  </cols>
  <sheetData>
    <row r="2" spans="2:8">
      <c r="B2" s="1" t="s">
        <v>0</v>
      </c>
    </row>
    <row r="3" spans="2:8">
      <c r="B3" s="2" t="s">
        <v>1</v>
      </c>
    </row>
    <row r="6" spans="2:8" ht="30" customHeight="1">
      <c r="B6" s="3" t="s">
        <v>2</v>
      </c>
      <c r="C6" s="3" t="s">
        <v>4</v>
      </c>
      <c r="D6" s="3" t="s">
        <v>6</v>
      </c>
      <c r="E6" s="3" t="s">
        <v>8</v>
      </c>
      <c r="F6" s="3" t="s">
        <v>10</v>
      </c>
      <c r="G6" s="3" t="s">
        <v>12</v>
      </c>
    </row>
    <row r="7" spans="2:8">
      <c r="B7" s="4" t="s">
        <v>3</v>
      </c>
      <c r="C7" s="4" t="s">
        <v>5</v>
      </c>
      <c r="D7" s="4" t="s">
        <v>7</v>
      </c>
      <c r="E7" s="4" t="s">
        <v>9</v>
      </c>
      <c r="F7" s="4" t="s">
        <v>11</v>
      </c>
      <c r="G7" s="4" t="s">
        <v>13</v>
      </c>
    </row>
    <row r="9" spans="2:8">
      <c r="B9" s="5" t="s">
        <v>14</v>
      </c>
    </row>
    <row r="10" spans="2:8">
      <c r="B10" s="6" t="s">
        <v>15</v>
      </c>
      <c r="C10" s="6" t="s">
        <v>16</v>
      </c>
      <c r="D10" s="6" t="s">
        <v>17</v>
      </c>
      <c r="E10" s="6" t="s">
        <v>18</v>
      </c>
      <c r="F10" s="6" t="s">
        <v>9</v>
      </c>
      <c r="G10" s="6" t="s">
        <v>19</v>
      </c>
      <c r="H10" s="6" t="s">
        <v>20</v>
      </c>
    </row>
    <row r="11" spans="2:8">
      <c r="B11" s="7">
        <v>2021</v>
      </c>
      <c r="C11" s="8">
        <v>228634.06</v>
      </c>
      <c r="D11" s="8">
        <v>67165.12</v>
      </c>
      <c r="E11" s="7">
        <v>1678</v>
      </c>
      <c r="F11" s="8">
        <v>136.2539094159714</v>
      </c>
      <c r="G11" s="9">
        <v>29.37669041961639</v>
      </c>
      <c r="H11" s="9"/>
    </row>
    <row r="12" spans="2:8">
      <c r="B12" s="7">
        <v>2022</v>
      </c>
      <c r="C12" s="8">
        <v>346303.93</v>
      </c>
      <c r="D12" s="8">
        <v>100716.04</v>
      </c>
      <c r="E12" s="7">
        <v>2261</v>
      </c>
      <c r="F12" s="8">
        <v>153.1640557275542</v>
      </c>
      <c r="G12" s="9">
        <v>29.08313515240788</v>
      </c>
      <c r="H12" s="9">
        <v>51.46646567007558</v>
      </c>
    </row>
    <row r="13" spans="2:8">
      <c r="B13" s="7">
        <v>2023</v>
      </c>
      <c r="C13" s="8">
        <v>492486.39</v>
      </c>
      <c r="D13" s="8">
        <v>140608.95</v>
      </c>
      <c r="E13" s="7">
        <v>2828</v>
      </c>
      <c r="F13" s="8">
        <v>174.1465311173975</v>
      </c>
      <c r="G13" s="9">
        <v>28.55082959754482</v>
      </c>
      <c r="H13" s="9">
        <v>42.21218627233021</v>
      </c>
    </row>
    <row r="14" spans="2:8">
      <c r="B14" s="7">
        <v>2024</v>
      </c>
      <c r="C14" s="8">
        <v>609230.78</v>
      </c>
      <c r="D14" s="8">
        <v>174464.13</v>
      </c>
      <c r="E14" s="7">
        <v>3382</v>
      </c>
      <c r="F14" s="8">
        <v>180.139201655825</v>
      </c>
      <c r="G14" s="9">
        <v>28.63678850894566</v>
      </c>
      <c r="H14" s="9">
        <v>23.70509974905093</v>
      </c>
    </row>
    <row r="15" spans="2:8">
      <c r="B15" s="7">
        <v>2025</v>
      </c>
      <c r="C15" s="8">
        <v>709171.1</v>
      </c>
      <c r="D15" s="8">
        <v>203095.75</v>
      </c>
      <c r="E15" s="7">
        <v>3920</v>
      </c>
      <c r="F15" s="8">
        <v>180.9109948979592</v>
      </c>
      <c r="G15" s="9">
        <v>28.63846961614765</v>
      </c>
      <c r="H15" s="9">
        <v>16.40434516456965</v>
      </c>
    </row>
    <row r="36" spans="2:9">
      <c r="B36" s="5" t="s">
        <v>21</v>
      </c>
    </row>
    <row r="37" spans="2:9">
      <c r="B37" s="6" t="s">
        <v>22</v>
      </c>
      <c r="C37" s="6" t="s">
        <v>23</v>
      </c>
      <c r="D37" s="6"/>
      <c r="E37" s="6"/>
      <c r="F37" s="6"/>
      <c r="G37" s="6"/>
      <c r="H37" s="6"/>
      <c r="I37" s="6"/>
    </row>
    <row r="38" spans="2:9" ht="34" customHeight="1">
      <c r="B38" s="10" t="s">
        <v>24</v>
      </c>
      <c r="C38" s="10" t="s">
        <v>25</v>
      </c>
      <c r="D38" s="10"/>
      <c r="E38" s="10"/>
      <c r="F38" s="10"/>
      <c r="G38" s="10"/>
      <c r="H38" s="10"/>
      <c r="I38" s="10"/>
    </row>
    <row r="39" spans="2:9" ht="34" customHeight="1">
      <c r="B39" s="10" t="s">
        <v>26</v>
      </c>
      <c r="C39" s="10" t="s">
        <v>27</v>
      </c>
      <c r="D39" s="10"/>
      <c r="E39" s="10"/>
      <c r="F39" s="10"/>
      <c r="G39" s="10"/>
      <c r="H39" s="10"/>
      <c r="I39" s="10"/>
    </row>
    <row r="40" spans="2:9" ht="34" customHeight="1">
      <c r="B40" s="10" t="s">
        <v>28</v>
      </c>
      <c r="C40" s="10" t="s">
        <v>29</v>
      </c>
      <c r="D40" s="10"/>
      <c r="E40" s="10"/>
      <c r="F40" s="10"/>
      <c r="G40" s="10"/>
      <c r="H40" s="10"/>
      <c r="I40" s="10"/>
    </row>
    <row r="41" spans="2:9" ht="34" customHeight="1">
      <c r="B41" s="10" t="s">
        <v>30</v>
      </c>
      <c r="C41" s="10" t="s">
        <v>31</v>
      </c>
      <c r="D41" s="10"/>
      <c r="E41" s="10"/>
      <c r="F41" s="10"/>
      <c r="G41" s="10"/>
      <c r="H41" s="10"/>
      <c r="I41" s="10"/>
    </row>
    <row r="42" spans="2:9" ht="34" customHeight="1">
      <c r="B42" s="10" t="s">
        <v>32</v>
      </c>
      <c r="C42" s="10" t="s">
        <v>33</v>
      </c>
      <c r="D42" s="10"/>
      <c r="E42" s="10"/>
      <c r="F42" s="10"/>
      <c r="G42" s="10"/>
      <c r="H42" s="10"/>
      <c r="I42" s="10"/>
    </row>
    <row r="43" spans="2:9" ht="34" customHeight="1">
      <c r="B43" s="10" t="s">
        <v>34</v>
      </c>
      <c r="C43" s="10" t="s">
        <v>35</v>
      </c>
      <c r="D43" s="10"/>
      <c r="E43" s="10"/>
      <c r="F43" s="10"/>
      <c r="G43" s="10"/>
      <c r="H43" s="10"/>
      <c r="I43" s="10"/>
    </row>
  </sheetData>
  <mergeCells count="7">
    <mergeCell ref="C37:I37"/>
    <mergeCell ref="C38:I38"/>
    <mergeCell ref="C39:I39"/>
    <mergeCell ref="C40:I40"/>
    <mergeCell ref="C41:I41"/>
    <mergeCell ref="C42:I42"/>
    <mergeCell ref="C43:I4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B2:H68"/>
  <sheetViews>
    <sheetView showGridLines="0" workbookViewId="0"/>
  </sheetViews>
  <sheetFormatPr defaultRowHeight="15"/>
  <cols>
    <col min="1" max="1" width="2.7109375" customWidth="1"/>
    <col min="2" max="2" width="36.7109375" customWidth="1"/>
    <col min="3" max="3" width="18.7109375" customWidth="1"/>
    <col min="4" max="5" width="20.7109375" customWidth="1"/>
    <col min="6" max="6" width="18.7109375" customWidth="1"/>
    <col min="7" max="7" width="16.7109375" customWidth="1"/>
  </cols>
  <sheetData>
    <row r="2" spans="2:6">
      <c r="B2" s="1" t="s">
        <v>36</v>
      </c>
    </row>
    <row r="3" spans="2:6">
      <c r="B3" s="2" t="s">
        <v>37</v>
      </c>
    </row>
    <row r="6" spans="2:6">
      <c r="B6" s="6" t="s">
        <v>38</v>
      </c>
      <c r="C6" s="6" t="s">
        <v>39</v>
      </c>
      <c r="D6" s="6" t="s">
        <v>40</v>
      </c>
      <c r="E6" s="6" t="s">
        <v>41</v>
      </c>
      <c r="F6" s="6" t="s">
        <v>42</v>
      </c>
    </row>
    <row r="7" spans="2:6">
      <c r="B7" s="11" t="s">
        <v>43</v>
      </c>
      <c r="C7" s="7">
        <v>0</v>
      </c>
      <c r="D7" s="7">
        <v>0</v>
      </c>
      <c r="E7" s="7">
        <v>4</v>
      </c>
      <c r="F7" s="7">
        <v>3841</v>
      </c>
    </row>
    <row r="8" spans="2:6">
      <c r="B8" s="11" t="s">
        <v>44</v>
      </c>
      <c r="C8" s="7">
        <v>0</v>
      </c>
      <c r="D8" s="7">
        <v>0</v>
      </c>
      <c r="E8" s="7">
        <v>1</v>
      </c>
      <c r="F8" s="7">
        <v>630</v>
      </c>
    </row>
    <row r="9" spans="2:6">
      <c r="B9" s="11" t="s">
        <v>45</v>
      </c>
      <c r="C9" s="7">
        <v>0</v>
      </c>
      <c r="D9" s="7">
        <v>0</v>
      </c>
      <c r="E9" s="7">
        <v>0</v>
      </c>
      <c r="F9" s="7">
        <v>0</v>
      </c>
    </row>
    <row r="10" spans="2:6">
      <c r="B10" s="11" t="s">
        <v>46</v>
      </c>
      <c r="C10" s="7">
        <v>0</v>
      </c>
      <c r="D10" s="7">
        <v>0</v>
      </c>
      <c r="E10" s="7">
        <v>0</v>
      </c>
      <c r="F10" s="7">
        <v>0</v>
      </c>
    </row>
    <row r="11" spans="2:6">
      <c r="B11" s="11" t="s">
        <v>47</v>
      </c>
      <c r="C11" s="7">
        <v>0</v>
      </c>
      <c r="D11" s="7">
        <v>0</v>
      </c>
      <c r="E11" s="7">
        <v>0</v>
      </c>
      <c r="F11" s="7">
        <v>0</v>
      </c>
    </row>
    <row r="12" spans="2:6">
      <c r="B12" s="11" t="s">
        <v>48</v>
      </c>
      <c r="C12" s="7">
        <v>0</v>
      </c>
      <c r="D12" s="7">
        <v>0</v>
      </c>
      <c r="E12" s="7">
        <v>0</v>
      </c>
      <c r="F12" s="7">
        <v>0</v>
      </c>
    </row>
    <row r="13" spans="2:6">
      <c r="B13" s="11" t="s">
        <v>49</v>
      </c>
      <c r="C13" s="7">
        <v>0</v>
      </c>
      <c r="D13" s="7">
        <v>0</v>
      </c>
      <c r="E13" s="7">
        <v>1</v>
      </c>
      <c r="F13" s="7">
        <v>28</v>
      </c>
    </row>
    <row r="14" spans="2:6">
      <c r="B14" s="11" t="s">
        <v>50</v>
      </c>
      <c r="C14" s="7">
        <v>0</v>
      </c>
      <c r="D14" s="7">
        <v>0</v>
      </c>
      <c r="E14" s="7">
        <v>1</v>
      </c>
      <c r="F14" s="7">
        <v>1</v>
      </c>
    </row>
    <row r="15" spans="2:6">
      <c r="B15" s="11" t="s">
        <v>51</v>
      </c>
      <c r="C15" s="7">
        <v>0</v>
      </c>
      <c r="D15" s="7">
        <v>0</v>
      </c>
      <c r="E15" s="7">
        <v>2</v>
      </c>
      <c r="F15" s="7">
        <v>17537</v>
      </c>
    </row>
    <row r="16" spans="2:6">
      <c r="B16" s="11" t="s">
        <v>52</v>
      </c>
      <c r="C16" s="7">
        <v>0</v>
      </c>
      <c r="D16" s="7">
        <v>0</v>
      </c>
      <c r="E16" s="7">
        <v>0</v>
      </c>
      <c r="F16" s="7">
        <v>0</v>
      </c>
    </row>
    <row r="17" spans="2:6">
      <c r="B17" s="11" t="s">
        <v>53</v>
      </c>
      <c r="C17" s="7">
        <v>0</v>
      </c>
      <c r="D17" s="7">
        <v>0</v>
      </c>
      <c r="E17" s="7">
        <v>1</v>
      </c>
      <c r="F17" s="7">
        <v>5706</v>
      </c>
    </row>
    <row r="18" spans="2:6">
      <c r="B18" s="11" t="s">
        <v>54</v>
      </c>
      <c r="C18" s="7">
        <v>0</v>
      </c>
      <c r="D18" s="7">
        <v>0</v>
      </c>
      <c r="E18" s="7">
        <v>5</v>
      </c>
      <c r="F18" s="7">
        <v>4871</v>
      </c>
    </row>
    <row r="19" spans="2:6">
      <c r="B19" s="11" t="s">
        <v>55</v>
      </c>
      <c r="C19" s="7">
        <v>0</v>
      </c>
      <c r="D19" s="7">
        <v>0</v>
      </c>
      <c r="E19" s="7">
        <v>0</v>
      </c>
      <c r="F19" s="7">
        <v>0</v>
      </c>
    </row>
    <row r="20" spans="2:6">
      <c r="B20" s="11" t="s">
        <v>56</v>
      </c>
      <c r="C20" s="7">
        <v>0</v>
      </c>
      <c r="D20" s="7">
        <v>0</v>
      </c>
      <c r="E20" s="7">
        <v>0</v>
      </c>
      <c r="F20" s="7">
        <v>0</v>
      </c>
    </row>
    <row r="21" spans="2:6">
      <c r="B21" s="11" t="s">
        <v>57</v>
      </c>
      <c r="C21" s="7">
        <v>0</v>
      </c>
      <c r="D21" s="7">
        <v>0</v>
      </c>
      <c r="E21" s="7">
        <v>0</v>
      </c>
      <c r="F21" s="7">
        <v>0</v>
      </c>
    </row>
    <row r="22" spans="2:6">
      <c r="B22" s="11" t="s">
        <v>58</v>
      </c>
      <c r="C22" s="7">
        <v>0</v>
      </c>
      <c r="D22" s="7">
        <v>0</v>
      </c>
      <c r="E22" s="7">
        <v>0</v>
      </c>
      <c r="F22" s="7">
        <v>0</v>
      </c>
    </row>
    <row r="23" spans="2:6">
      <c r="B23" s="11" t="s">
        <v>59</v>
      </c>
      <c r="C23" s="7">
        <v>0</v>
      </c>
      <c r="D23" s="7">
        <v>0</v>
      </c>
      <c r="E23" s="7">
        <v>0</v>
      </c>
      <c r="F23" s="7">
        <v>0</v>
      </c>
    </row>
    <row r="24" spans="2:6">
      <c r="B24" s="11" t="s">
        <v>60</v>
      </c>
      <c r="C24" s="7">
        <v>0</v>
      </c>
      <c r="D24" s="7">
        <v>0</v>
      </c>
      <c r="E24" s="7">
        <v>0</v>
      </c>
      <c r="F24" s="7">
        <v>0</v>
      </c>
    </row>
    <row r="25" spans="2:6">
      <c r="B25" s="11" t="s">
        <v>61</v>
      </c>
      <c r="C25" s="7">
        <v>0</v>
      </c>
      <c r="D25" s="7">
        <v>0</v>
      </c>
      <c r="E25" s="7">
        <v>1</v>
      </c>
      <c r="F25" s="7">
        <v>106</v>
      </c>
    </row>
    <row r="26" spans="2:6">
      <c r="B26" s="11" t="s">
        <v>62</v>
      </c>
      <c r="C26" s="7">
        <v>0</v>
      </c>
      <c r="D26" s="7">
        <v>0</v>
      </c>
      <c r="E26" s="7">
        <v>0</v>
      </c>
      <c r="F26" s="7">
        <v>0</v>
      </c>
    </row>
    <row r="27" spans="2:6">
      <c r="B27" s="11" t="s">
        <v>63</v>
      </c>
      <c r="C27" s="7">
        <v>0</v>
      </c>
      <c r="D27" s="7">
        <v>253</v>
      </c>
      <c r="E27" s="7">
        <v>0</v>
      </c>
      <c r="F27" s="7">
        <v>0</v>
      </c>
    </row>
    <row r="28" spans="2:6">
      <c r="B28" s="11" t="s">
        <v>64</v>
      </c>
      <c r="C28" s="7">
        <v>0</v>
      </c>
      <c r="D28" s="7">
        <v>15</v>
      </c>
      <c r="E28" s="7">
        <v>0</v>
      </c>
      <c r="F28" s="7">
        <v>0</v>
      </c>
    </row>
    <row r="29" spans="2:6">
      <c r="B29" s="11" t="s">
        <v>65</v>
      </c>
      <c r="C29" s="7">
        <v>0</v>
      </c>
      <c r="D29" s="7">
        <v>0</v>
      </c>
      <c r="E29" s="7">
        <v>0</v>
      </c>
      <c r="F29" s="7">
        <v>0</v>
      </c>
    </row>
    <row r="30" spans="2:6">
      <c r="B30" s="11" t="s">
        <v>66</v>
      </c>
      <c r="C30" s="7">
        <v>0</v>
      </c>
      <c r="D30" s="7">
        <v>0</v>
      </c>
      <c r="E30" s="7">
        <v>0</v>
      </c>
      <c r="F30" s="7">
        <v>0</v>
      </c>
    </row>
    <row r="32" spans="2:6">
      <c r="B32" s="5" t="s">
        <v>67</v>
      </c>
    </row>
    <row r="33" spans="2:5">
      <c r="B33" s="6" t="s">
        <v>38</v>
      </c>
      <c r="C33" s="6" t="s">
        <v>68</v>
      </c>
      <c r="D33" s="6" t="s">
        <v>69</v>
      </c>
      <c r="E33" s="6" t="s">
        <v>70</v>
      </c>
    </row>
    <row r="34" spans="2:5">
      <c r="B34" s="11" t="s">
        <v>51</v>
      </c>
      <c r="C34" s="11" t="s">
        <v>71</v>
      </c>
      <c r="D34" s="11" t="s">
        <v>43</v>
      </c>
      <c r="E34" s="7">
        <v>0</v>
      </c>
    </row>
    <row r="35" spans="2:5">
      <c r="B35" s="11" t="s">
        <v>51</v>
      </c>
      <c r="C35" s="11" t="s">
        <v>72</v>
      </c>
      <c r="D35" s="11" t="s">
        <v>49</v>
      </c>
      <c r="E35" s="7">
        <v>0</v>
      </c>
    </row>
    <row r="36" spans="2:5">
      <c r="B36" s="11" t="s">
        <v>51</v>
      </c>
      <c r="C36" s="11" t="s">
        <v>73</v>
      </c>
      <c r="D36" s="11" t="s">
        <v>50</v>
      </c>
      <c r="E36" s="7">
        <v>0</v>
      </c>
    </row>
    <row r="37" spans="2:5">
      <c r="B37" s="11" t="s">
        <v>51</v>
      </c>
      <c r="C37" s="11" t="s">
        <v>74</v>
      </c>
      <c r="D37" s="11" t="s">
        <v>58</v>
      </c>
      <c r="E37" s="7">
        <v>0</v>
      </c>
    </row>
    <row r="38" spans="2:5">
      <c r="B38" s="11" t="s">
        <v>52</v>
      </c>
      <c r="C38" s="11" t="s">
        <v>75</v>
      </c>
      <c r="D38" s="11" t="s">
        <v>51</v>
      </c>
      <c r="E38" s="7">
        <v>0</v>
      </c>
    </row>
    <row r="39" spans="2:5">
      <c r="B39" s="11" t="s">
        <v>52</v>
      </c>
      <c r="C39" s="11" t="s">
        <v>76</v>
      </c>
      <c r="D39" s="11" t="s">
        <v>44</v>
      </c>
      <c r="E39" s="7">
        <v>0</v>
      </c>
    </row>
    <row r="40" spans="2:5">
      <c r="B40" s="11" t="s">
        <v>44</v>
      </c>
      <c r="C40" s="11" t="s">
        <v>77</v>
      </c>
      <c r="D40" s="11" t="s">
        <v>48</v>
      </c>
      <c r="E40" s="7">
        <v>0</v>
      </c>
    </row>
    <row r="41" spans="2:5">
      <c r="B41" s="11" t="s">
        <v>44</v>
      </c>
      <c r="C41" s="11" t="s">
        <v>78</v>
      </c>
      <c r="D41" s="11" t="s">
        <v>47</v>
      </c>
      <c r="E41" s="7">
        <v>0</v>
      </c>
    </row>
    <row r="42" spans="2:5">
      <c r="B42" s="11" t="s">
        <v>53</v>
      </c>
      <c r="C42" s="11" t="s">
        <v>75</v>
      </c>
      <c r="D42" s="11" t="s">
        <v>51</v>
      </c>
      <c r="E42" s="7">
        <v>0</v>
      </c>
    </row>
    <row r="43" spans="2:5">
      <c r="B43" s="11" t="s">
        <v>54</v>
      </c>
      <c r="C43" s="11" t="s">
        <v>75</v>
      </c>
      <c r="D43" s="11" t="s">
        <v>51</v>
      </c>
      <c r="E43" s="7">
        <v>0</v>
      </c>
    </row>
    <row r="44" spans="2:5">
      <c r="B44" s="11" t="s">
        <v>55</v>
      </c>
      <c r="C44" s="11" t="s">
        <v>75</v>
      </c>
      <c r="D44" s="11" t="s">
        <v>51</v>
      </c>
      <c r="E44" s="7">
        <v>0</v>
      </c>
    </row>
    <row r="45" spans="2:5">
      <c r="B45" s="11" t="s">
        <v>55</v>
      </c>
      <c r="C45" s="11" t="s">
        <v>76</v>
      </c>
      <c r="D45" s="11" t="s">
        <v>44</v>
      </c>
      <c r="E45" s="7">
        <v>0</v>
      </c>
    </row>
    <row r="46" spans="2:5">
      <c r="B46" s="11" t="s">
        <v>55</v>
      </c>
      <c r="C46" s="11" t="s">
        <v>71</v>
      </c>
      <c r="D46" s="11" t="s">
        <v>43</v>
      </c>
      <c r="E46" s="7">
        <v>0</v>
      </c>
    </row>
    <row r="47" spans="2:5">
      <c r="B47" s="11" t="s">
        <v>56</v>
      </c>
      <c r="C47" s="11" t="s">
        <v>76</v>
      </c>
      <c r="D47" s="11" t="s">
        <v>44</v>
      </c>
      <c r="E47" s="7">
        <v>0</v>
      </c>
    </row>
    <row r="48" spans="2:5">
      <c r="B48" s="11" t="s">
        <v>56</v>
      </c>
      <c r="C48" s="11" t="s">
        <v>73</v>
      </c>
      <c r="D48" s="11" t="s">
        <v>50</v>
      </c>
      <c r="E48" s="7">
        <v>0</v>
      </c>
    </row>
    <row r="49" spans="2:8">
      <c r="B49" s="11" t="s">
        <v>49</v>
      </c>
      <c r="C49" s="11" t="s">
        <v>73</v>
      </c>
      <c r="D49" s="11" t="s">
        <v>50</v>
      </c>
      <c r="E49" s="7">
        <v>0</v>
      </c>
    </row>
    <row r="50" spans="2:8">
      <c r="B50" s="11" t="s">
        <v>61</v>
      </c>
      <c r="C50" s="11" t="s">
        <v>77</v>
      </c>
      <c r="D50" s="11" t="s">
        <v>48</v>
      </c>
      <c r="E50" s="7">
        <v>0</v>
      </c>
    </row>
    <row r="51" spans="2:8">
      <c r="B51" s="11" t="s">
        <v>61</v>
      </c>
      <c r="C51" s="11" t="s">
        <v>76</v>
      </c>
      <c r="D51" s="11" t="s">
        <v>44</v>
      </c>
      <c r="E51" s="7">
        <v>0</v>
      </c>
    </row>
    <row r="53" spans="2:8">
      <c r="B53" s="5" t="s">
        <v>79</v>
      </c>
    </row>
    <row r="54" spans="2:8">
      <c r="B54" s="6" t="s">
        <v>80</v>
      </c>
      <c r="C54" s="6" t="s">
        <v>81</v>
      </c>
    </row>
    <row r="55" spans="2:8">
      <c r="B55" s="11" t="s">
        <v>82</v>
      </c>
      <c r="C55" s="7">
        <v>0</v>
      </c>
    </row>
    <row r="56" spans="2:8">
      <c r="B56" s="11" t="s">
        <v>83</v>
      </c>
      <c r="C56" s="7">
        <v>0</v>
      </c>
    </row>
    <row r="57" spans="2:8">
      <c r="B57" s="11" t="s">
        <v>84</v>
      </c>
      <c r="C57" s="7">
        <v>0</v>
      </c>
    </row>
    <row r="58" spans="2:8">
      <c r="B58" s="11" t="s">
        <v>85</v>
      </c>
      <c r="C58" s="7">
        <v>0</v>
      </c>
    </row>
    <row r="59" spans="2:8">
      <c r="B59" s="11" t="s">
        <v>86</v>
      </c>
      <c r="C59" s="7">
        <v>0</v>
      </c>
    </row>
    <row r="60" spans="2:8">
      <c r="B60" s="11" t="s">
        <v>87</v>
      </c>
      <c r="C60" s="7">
        <v>0</v>
      </c>
    </row>
    <row r="62" spans="2:8">
      <c r="B62" s="5" t="s">
        <v>88</v>
      </c>
    </row>
    <row r="63" spans="2:8" ht="30" customHeight="1">
      <c r="B63" s="12" t="s">
        <v>89</v>
      </c>
      <c r="C63" s="12"/>
      <c r="D63" s="12"/>
      <c r="E63" s="12"/>
      <c r="F63" s="12"/>
      <c r="G63" s="12"/>
      <c r="H63" s="12"/>
    </row>
    <row r="64" spans="2:8" ht="30" customHeight="1">
      <c r="B64" s="12" t="s">
        <v>90</v>
      </c>
      <c r="C64" s="12"/>
      <c r="D64" s="12"/>
      <c r="E64" s="12"/>
      <c r="F64" s="12"/>
      <c r="G64" s="12"/>
      <c r="H64" s="12"/>
    </row>
    <row r="65" spans="2:8" ht="30" customHeight="1">
      <c r="B65" s="12" t="s">
        <v>91</v>
      </c>
      <c r="C65" s="12"/>
      <c r="D65" s="12"/>
      <c r="E65" s="12"/>
      <c r="F65" s="12"/>
      <c r="G65" s="12"/>
      <c r="H65" s="12"/>
    </row>
    <row r="66" spans="2:8" ht="30" customHeight="1">
      <c r="B66" s="12" t="s">
        <v>92</v>
      </c>
      <c r="C66" s="12"/>
      <c r="D66" s="12"/>
      <c r="E66" s="12"/>
      <c r="F66" s="12"/>
      <c r="G66" s="12"/>
      <c r="H66" s="12"/>
    </row>
    <row r="67" spans="2:8" ht="30" customHeight="1">
      <c r="B67" s="12" t="s">
        <v>93</v>
      </c>
      <c r="C67" s="12"/>
      <c r="D67" s="12"/>
      <c r="E67" s="12"/>
      <c r="F67" s="12"/>
      <c r="G67" s="12"/>
      <c r="H67" s="12"/>
    </row>
    <row r="68" spans="2:8" ht="30" customHeight="1">
      <c r="B68" s="12" t="s">
        <v>94</v>
      </c>
      <c r="C68" s="12"/>
      <c r="D68" s="12"/>
      <c r="E68" s="12"/>
      <c r="F68" s="12"/>
      <c r="G68" s="12"/>
      <c r="H68" s="12"/>
    </row>
  </sheetData>
  <mergeCells count="6">
    <mergeCell ref="B63:H63"/>
    <mergeCell ref="B64:H64"/>
    <mergeCell ref="B65:H65"/>
    <mergeCell ref="B66:H66"/>
    <mergeCell ref="B67:H67"/>
    <mergeCell ref="B68:H68"/>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B2:G99"/>
  <sheetViews>
    <sheetView showGridLines="0" workbookViewId="0"/>
  </sheetViews>
  <sheetFormatPr defaultRowHeight="15"/>
  <cols>
    <col min="1" max="1" width="2.7109375" customWidth="1"/>
    <col min="2" max="2" width="20.7109375" customWidth="1"/>
    <col min="3" max="3" width="15.7109375" customWidth="1"/>
    <col min="4" max="4" width="14.7109375" customWidth="1"/>
    <col min="5" max="5" width="16.7109375" customWidth="1"/>
    <col min="6" max="6" width="11.7109375" customWidth="1"/>
    <col min="7" max="7" width="14.7109375" customWidth="1"/>
  </cols>
  <sheetData>
    <row r="2" spans="2:7">
      <c r="B2" s="1" t="s">
        <v>95</v>
      </c>
    </row>
    <row r="3" spans="2:7">
      <c r="B3" s="2" t="s">
        <v>96</v>
      </c>
    </row>
    <row r="6" spans="2:7">
      <c r="B6" s="5" t="s">
        <v>97</v>
      </c>
    </row>
    <row r="7" spans="2:7">
      <c r="B7" s="6" t="s">
        <v>98</v>
      </c>
      <c r="C7" s="6" t="s">
        <v>16</v>
      </c>
      <c r="D7" s="6" t="s">
        <v>18</v>
      </c>
      <c r="E7" s="6" t="s">
        <v>9</v>
      </c>
      <c r="F7" s="6" t="s">
        <v>99</v>
      </c>
      <c r="G7" s="6" t="s">
        <v>100</v>
      </c>
    </row>
    <row r="8" spans="2:7">
      <c r="B8" s="11" t="s">
        <v>101</v>
      </c>
      <c r="C8" s="8">
        <v>914175.34</v>
      </c>
      <c r="D8" s="7">
        <v>5518</v>
      </c>
      <c r="E8" s="8">
        <v>165.6715005436753</v>
      </c>
      <c r="F8" s="8">
        <v>263485.7</v>
      </c>
      <c r="G8" s="9">
        <v>38.31692840869309</v>
      </c>
    </row>
    <row r="9" spans="2:7">
      <c r="B9" s="11" t="s">
        <v>102</v>
      </c>
      <c r="C9" s="8">
        <v>361576.73</v>
      </c>
      <c r="D9" s="7">
        <v>2154</v>
      </c>
      <c r="E9" s="8">
        <v>167.8629201485608</v>
      </c>
      <c r="F9" s="8">
        <v>103764.74</v>
      </c>
      <c r="G9" s="9">
        <v>15.15519952404246</v>
      </c>
    </row>
    <row r="10" spans="2:7">
      <c r="B10" s="11" t="s">
        <v>103</v>
      </c>
      <c r="C10" s="8">
        <v>334985.78</v>
      </c>
      <c r="D10" s="7">
        <v>1987</v>
      </c>
      <c r="E10" s="8">
        <v>168.5887166582788</v>
      </c>
      <c r="F10" s="8">
        <v>95736.17999999999</v>
      </c>
      <c r="G10" s="9">
        <v>14.0406611167068</v>
      </c>
    </row>
    <row r="11" spans="2:7">
      <c r="B11" s="11" t="s">
        <v>104</v>
      </c>
      <c r="C11" s="8">
        <v>334907.7</v>
      </c>
      <c r="D11" s="7">
        <v>1895</v>
      </c>
      <c r="E11" s="8">
        <v>176.7322955145119</v>
      </c>
      <c r="F11" s="8">
        <v>95893.32000000001</v>
      </c>
      <c r="G11" s="9">
        <v>14.03738845593895</v>
      </c>
    </row>
    <row r="12" spans="2:7">
      <c r="B12" s="11" t="s">
        <v>105</v>
      </c>
      <c r="C12" s="8">
        <v>320656.83</v>
      </c>
      <c r="D12" s="7">
        <v>1791</v>
      </c>
      <c r="E12" s="8">
        <v>179.0378726968174</v>
      </c>
      <c r="F12" s="8">
        <v>92437.7</v>
      </c>
      <c r="G12" s="9">
        <v>13.44007463477245</v>
      </c>
    </row>
    <row r="13" spans="2:7">
      <c r="B13" s="11" t="s">
        <v>106</v>
      </c>
      <c r="C13" s="8">
        <v>119523.88</v>
      </c>
      <c r="D13" s="7">
        <v>724</v>
      </c>
      <c r="E13" s="8">
        <v>165.0882320441989</v>
      </c>
      <c r="F13" s="8">
        <v>34732.35</v>
      </c>
      <c r="G13" s="9">
        <v>5.009747859846258</v>
      </c>
    </row>
    <row r="29" spans="2:5">
      <c r="B29" s="5" t="s">
        <v>107</v>
      </c>
    </row>
    <row r="30" spans="2:5">
      <c r="B30" s="6" t="s">
        <v>108</v>
      </c>
      <c r="C30" s="6" t="s">
        <v>16</v>
      </c>
      <c r="D30" s="6" t="s">
        <v>18</v>
      </c>
      <c r="E30" s="6" t="s">
        <v>99</v>
      </c>
    </row>
    <row r="31" spans="2:5">
      <c r="B31" s="11" t="s">
        <v>109</v>
      </c>
      <c r="C31" s="8">
        <v>1352127.04</v>
      </c>
      <c r="D31" s="7">
        <v>7827</v>
      </c>
      <c r="E31" s="8">
        <v>387831.94</v>
      </c>
    </row>
    <row r="32" spans="2:5">
      <c r="B32" s="11" t="s">
        <v>110</v>
      </c>
      <c r="C32" s="8">
        <v>145896.42</v>
      </c>
      <c r="D32" s="7">
        <v>921</v>
      </c>
      <c r="E32" s="8">
        <v>41955.53</v>
      </c>
    </row>
    <row r="33" spans="2:5">
      <c r="B33" s="11" t="s">
        <v>111</v>
      </c>
      <c r="C33" s="8">
        <v>125748.61</v>
      </c>
      <c r="D33" s="7">
        <v>738</v>
      </c>
      <c r="E33" s="8">
        <v>36170.66</v>
      </c>
    </row>
    <row r="34" spans="2:5">
      <c r="B34" s="11" t="s">
        <v>112</v>
      </c>
      <c r="C34" s="8">
        <v>100927.46</v>
      </c>
      <c r="D34" s="7">
        <v>625</v>
      </c>
      <c r="E34" s="8">
        <v>29121.5</v>
      </c>
    </row>
    <row r="35" spans="2:5">
      <c r="B35" s="11" t="s">
        <v>113</v>
      </c>
      <c r="C35" s="8">
        <v>98250.00999999999</v>
      </c>
      <c r="D35" s="7">
        <v>626</v>
      </c>
      <c r="E35" s="8">
        <v>28575.38</v>
      </c>
    </row>
    <row r="36" spans="2:5">
      <c r="B36" s="11" t="s">
        <v>114</v>
      </c>
      <c r="C36" s="8">
        <v>93722.28</v>
      </c>
      <c r="D36" s="7">
        <v>557</v>
      </c>
      <c r="E36" s="8">
        <v>26985.25</v>
      </c>
    </row>
    <row r="37" spans="2:5">
      <c r="B37" s="11" t="s">
        <v>115</v>
      </c>
      <c r="C37" s="8">
        <v>93550.28999999999</v>
      </c>
      <c r="D37" s="7">
        <v>549</v>
      </c>
      <c r="E37" s="8">
        <v>26843.18</v>
      </c>
    </row>
    <row r="38" spans="2:5">
      <c r="B38" s="11" t="s">
        <v>116</v>
      </c>
      <c r="C38" s="8">
        <v>91560.5</v>
      </c>
      <c r="D38" s="7">
        <v>562</v>
      </c>
      <c r="E38" s="8">
        <v>26645.85</v>
      </c>
    </row>
    <row r="39" spans="2:5">
      <c r="B39" s="11" t="s">
        <v>117</v>
      </c>
      <c r="C39" s="8">
        <v>87571.14999999999</v>
      </c>
      <c r="D39" s="7">
        <v>519</v>
      </c>
      <c r="E39" s="8">
        <v>25697.63</v>
      </c>
    </row>
    <row r="40" spans="2:5">
      <c r="B40" s="11" t="s">
        <v>118</v>
      </c>
      <c r="C40" s="8">
        <v>84377.12</v>
      </c>
      <c r="D40" s="7">
        <v>518</v>
      </c>
      <c r="E40" s="8">
        <v>24914.66</v>
      </c>
    </row>
    <row r="41" spans="2:5">
      <c r="B41" s="11" t="s">
        <v>119</v>
      </c>
      <c r="C41" s="8">
        <v>63806.49</v>
      </c>
      <c r="D41" s="7">
        <v>374</v>
      </c>
      <c r="E41" s="8">
        <v>18206.01</v>
      </c>
    </row>
    <row r="42" spans="2:5">
      <c r="B42" s="11" t="s">
        <v>120</v>
      </c>
      <c r="C42" s="8">
        <v>48288.89</v>
      </c>
      <c r="D42" s="7">
        <v>253</v>
      </c>
      <c r="E42" s="8">
        <v>13102.4</v>
      </c>
    </row>
    <row r="61" spans="2:6">
      <c r="B61" s="5" t="s">
        <v>121</v>
      </c>
    </row>
    <row r="62" spans="2:6">
      <c r="B62" s="6" t="s">
        <v>122</v>
      </c>
      <c r="C62" s="6" t="s">
        <v>16</v>
      </c>
      <c r="D62" s="6" t="s">
        <v>99</v>
      </c>
      <c r="E62" s="6" t="s">
        <v>123</v>
      </c>
      <c r="F62" s="6" t="s">
        <v>19</v>
      </c>
    </row>
    <row r="63" spans="2:6">
      <c r="B63" s="11" t="s">
        <v>124</v>
      </c>
      <c r="C63" s="8">
        <v>582094.46</v>
      </c>
      <c r="D63" s="8">
        <v>173233.28</v>
      </c>
      <c r="E63" s="7">
        <v>15243</v>
      </c>
      <c r="F63" s="9">
        <v>29.76033821039973</v>
      </c>
    </row>
    <row r="64" spans="2:6">
      <c r="B64" s="11" t="s">
        <v>125</v>
      </c>
      <c r="C64" s="8">
        <v>517634.82</v>
      </c>
      <c r="D64" s="8">
        <v>138570.25</v>
      </c>
      <c r="E64" s="7">
        <v>10959</v>
      </c>
      <c r="F64" s="9">
        <v>26.76988576618551</v>
      </c>
    </row>
    <row r="65" spans="2:6">
      <c r="B65" s="11" t="s">
        <v>126</v>
      </c>
      <c r="C65" s="8">
        <v>265486.44</v>
      </c>
      <c r="D65" s="8">
        <v>71167.73</v>
      </c>
      <c r="E65" s="7">
        <v>6868</v>
      </c>
      <c r="F65" s="9">
        <v>26.80654047717089</v>
      </c>
    </row>
    <row r="66" spans="2:6">
      <c r="B66" s="11" t="s">
        <v>127</v>
      </c>
      <c r="C66" s="8">
        <v>231633.25</v>
      </c>
      <c r="D66" s="8">
        <v>70870.89</v>
      </c>
      <c r="E66" s="7">
        <v>3587</v>
      </c>
      <c r="F66" s="9">
        <v>30.59616441076572</v>
      </c>
    </row>
    <row r="67" spans="2:6">
      <c r="B67" s="11" t="s">
        <v>128</v>
      </c>
      <c r="C67" s="8">
        <v>192869.29</v>
      </c>
      <c r="D67" s="8">
        <v>54048.68</v>
      </c>
      <c r="E67" s="7">
        <v>5432</v>
      </c>
      <c r="F67" s="9">
        <v>28.02347641762978</v>
      </c>
    </row>
    <row r="68" spans="2:6">
      <c r="B68" s="11" t="s">
        <v>129</v>
      </c>
      <c r="C68" s="8">
        <v>178002.94</v>
      </c>
      <c r="D68" s="8">
        <v>50166.79</v>
      </c>
      <c r="E68" s="7">
        <v>7091</v>
      </c>
      <c r="F68" s="9">
        <v>28.18312439109152</v>
      </c>
    </row>
    <row r="69" spans="2:6">
      <c r="B69" s="11" t="s">
        <v>130</v>
      </c>
      <c r="C69" s="8">
        <v>110594.97</v>
      </c>
      <c r="D69" s="8">
        <v>32573.85</v>
      </c>
      <c r="E69" s="7">
        <v>4689</v>
      </c>
      <c r="F69" s="9">
        <v>29.4532834540305</v>
      </c>
    </row>
    <row r="70" spans="2:6">
      <c r="B70" s="11" t="s">
        <v>131</v>
      </c>
      <c r="C70" s="8">
        <v>109000.6</v>
      </c>
      <c r="D70" s="8">
        <v>39086.11</v>
      </c>
      <c r="E70" s="7">
        <v>7279</v>
      </c>
      <c r="F70" s="9">
        <v>35.85861912686719</v>
      </c>
    </row>
    <row r="71" spans="2:6">
      <c r="B71" s="11" t="s">
        <v>132</v>
      </c>
      <c r="C71" s="8">
        <v>101022.75</v>
      </c>
      <c r="D71" s="8">
        <v>31303.47</v>
      </c>
      <c r="E71" s="7">
        <v>7230</v>
      </c>
      <c r="F71" s="9">
        <v>30.98655500864904</v>
      </c>
    </row>
    <row r="72" spans="2:6">
      <c r="B72" s="11" t="s">
        <v>133</v>
      </c>
      <c r="C72" s="8">
        <v>55650.83</v>
      </c>
      <c r="D72" s="8">
        <v>13095.21</v>
      </c>
      <c r="E72" s="7">
        <v>3257</v>
      </c>
      <c r="F72" s="9">
        <v>23.53102370620528</v>
      </c>
    </row>
    <row r="73" spans="2:6">
      <c r="B73" s="11" t="s">
        <v>134</v>
      </c>
      <c r="C73" s="8">
        <v>41835.91</v>
      </c>
      <c r="D73" s="8">
        <v>11933.73</v>
      </c>
      <c r="E73" s="7">
        <v>2493</v>
      </c>
      <c r="F73" s="9">
        <v>28.52508765794744</v>
      </c>
    </row>
    <row r="91" spans="2:3">
      <c r="B91" s="5" t="s">
        <v>135</v>
      </c>
    </row>
    <row r="92" spans="2:3">
      <c r="B92" s="6" t="s">
        <v>136</v>
      </c>
      <c r="C92" s="6" t="s">
        <v>16</v>
      </c>
    </row>
    <row r="93" spans="2:3">
      <c r="B93" s="11" t="s">
        <v>137</v>
      </c>
      <c r="C93" s="8">
        <v>1897959.7</v>
      </c>
    </row>
    <row r="94" spans="2:3">
      <c r="B94" s="11" t="s">
        <v>138</v>
      </c>
      <c r="C94" s="8">
        <v>100927.46</v>
      </c>
    </row>
    <row r="95" spans="2:3">
      <c r="B95" s="11" t="s">
        <v>139</v>
      </c>
      <c r="C95" s="8">
        <v>93722.28</v>
      </c>
    </row>
    <row r="96" spans="2:3">
      <c r="B96" s="11" t="s">
        <v>140</v>
      </c>
      <c r="C96" s="8">
        <v>93550.28999999999</v>
      </c>
    </row>
    <row r="97" spans="2:3">
      <c r="B97" s="11" t="s">
        <v>141</v>
      </c>
      <c r="C97" s="8">
        <v>87571.14999999999</v>
      </c>
    </row>
    <row r="98" spans="2:3">
      <c r="B98" s="11" t="s">
        <v>142</v>
      </c>
      <c r="C98" s="8">
        <v>63806.49</v>
      </c>
    </row>
    <row r="99" spans="2:3">
      <c r="B99" s="11" t="s">
        <v>143</v>
      </c>
      <c r="C99" s="8">
        <v>48288.89</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B2:F61"/>
  <sheetViews>
    <sheetView showGridLines="0" workbookViewId="0"/>
  </sheetViews>
  <sheetFormatPr defaultRowHeight="15"/>
  <cols>
    <col min="1" max="1" width="2.7109375" customWidth="1"/>
    <col min="2" max="2" width="26.7109375" customWidth="1"/>
    <col min="3" max="4" width="15.7109375" customWidth="1"/>
    <col min="5" max="5" width="12.7109375" customWidth="1"/>
    <col min="6" max="6" width="14.7109375" customWidth="1"/>
  </cols>
  <sheetData>
    <row r="2" spans="2:6">
      <c r="B2" s="1" t="s">
        <v>144</v>
      </c>
    </row>
    <row r="3" spans="2:6">
      <c r="B3" s="2" t="s">
        <v>145</v>
      </c>
    </row>
    <row r="6" spans="2:6">
      <c r="B6" s="5" t="s">
        <v>146</v>
      </c>
    </row>
    <row r="7" spans="2:6">
      <c r="B7" s="6" t="s">
        <v>147</v>
      </c>
      <c r="C7" s="6" t="s">
        <v>148</v>
      </c>
      <c r="D7" s="6" t="s">
        <v>16</v>
      </c>
      <c r="E7" s="6" t="s">
        <v>149</v>
      </c>
      <c r="F7" s="6" t="s">
        <v>100</v>
      </c>
    </row>
    <row r="8" spans="2:6">
      <c r="B8" s="11" t="s">
        <v>150</v>
      </c>
      <c r="C8" s="7">
        <v>254</v>
      </c>
      <c r="D8" s="8">
        <v>1907129.65</v>
      </c>
      <c r="E8" s="9">
        <v>36.44189383070302</v>
      </c>
      <c r="F8" s="9">
        <v>79.93581435389181</v>
      </c>
    </row>
    <row r="9" spans="2:6">
      <c r="B9" s="11" t="s">
        <v>151</v>
      </c>
      <c r="C9" s="7">
        <v>204</v>
      </c>
      <c r="D9" s="8">
        <v>358872.57</v>
      </c>
      <c r="E9" s="9">
        <v>29.26829268292683</v>
      </c>
      <c r="F9" s="9">
        <v>15.04185681986751</v>
      </c>
    </row>
    <row r="10" spans="2:6">
      <c r="B10" s="11" t="s">
        <v>152</v>
      </c>
      <c r="C10" s="7">
        <v>239</v>
      </c>
      <c r="D10" s="8">
        <v>119824.04</v>
      </c>
      <c r="E10" s="9">
        <v>34.28981348637016</v>
      </c>
      <c r="F10" s="9">
        <v>5.022328826240684</v>
      </c>
    </row>
    <row r="12" spans="2:6">
      <c r="B12" s="5" t="s">
        <v>153</v>
      </c>
    </row>
    <row r="13" spans="2:6">
      <c r="B13" s="6" t="s">
        <v>154</v>
      </c>
      <c r="C13" s="6" t="s">
        <v>155</v>
      </c>
      <c r="D13" s="6" t="s">
        <v>16</v>
      </c>
      <c r="E13" s="6" t="s">
        <v>156</v>
      </c>
      <c r="F13" s="6" t="s">
        <v>99</v>
      </c>
    </row>
    <row r="14" spans="2:6">
      <c r="B14" s="11" t="s">
        <v>157</v>
      </c>
      <c r="C14" s="11" t="s">
        <v>158</v>
      </c>
      <c r="D14" s="8">
        <v>42924.17</v>
      </c>
      <c r="E14" s="7">
        <v>186</v>
      </c>
      <c r="F14" s="8">
        <v>10159.37</v>
      </c>
    </row>
    <row r="15" spans="2:6">
      <c r="B15" s="11" t="s">
        <v>159</v>
      </c>
      <c r="C15" s="11" t="s">
        <v>160</v>
      </c>
      <c r="D15" s="8">
        <v>39357.89</v>
      </c>
      <c r="E15" s="7">
        <v>197</v>
      </c>
      <c r="F15" s="8">
        <v>8838.49</v>
      </c>
    </row>
    <row r="16" spans="2:6">
      <c r="B16" s="11" t="s">
        <v>161</v>
      </c>
      <c r="C16" s="11" t="s">
        <v>162</v>
      </c>
      <c r="D16" s="8">
        <v>34494.91</v>
      </c>
      <c r="E16" s="7">
        <v>416</v>
      </c>
      <c r="F16" s="8">
        <v>12869.7</v>
      </c>
    </row>
    <row r="17" spans="2:6">
      <c r="B17" s="11" t="s">
        <v>163</v>
      </c>
      <c r="C17" s="11" t="s">
        <v>164</v>
      </c>
      <c r="D17" s="8">
        <v>32053.08</v>
      </c>
      <c r="E17" s="7">
        <v>134</v>
      </c>
      <c r="F17" s="8">
        <v>6927.3</v>
      </c>
    </row>
    <row r="18" spans="2:6">
      <c r="B18" s="11" t="s">
        <v>165</v>
      </c>
      <c r="C18" s="11" t="s">
        <v>166</v>
      </c>
      <c r="D18" s="8">
        <v>28077.32</v>
      </c>
      <c r="E18" s="7">
        <v>242</v>
      </c>
      <c r="F18" s="8">
        <v>5192.21</v>
      </c>
    </row>
    <row r="19" spans="2:6">
      <c r="B19" s="11" t="s">
        <v>167</v>
      </c>
      <c r="C19" s="11" t="s">
        <v>168</v>
      </c>
      <c r="D19" s="8">
        <v>26913.53</v>
      </c>
      <c r="E19" s="7">
        <v>314</v>
      </c>
      <c r="F19" s="8">
        <v>11224.25</v>
      </c>
    </row>
    <row r="20" spans="2:6">
      <c r="B20" s="11" t="s">
        <v>169</v>
      </c>
      <c r="C20" s="11" t="s">
        <v>170</v>
      </c>
      <c r="D20" s="8">
        <v>26447.11</v>
      </c>
      <c r="E20" s="7">
        <v>86</v>
      </c>
      <c r="F20" s="8">
        <v>9125.139999999999</v>
      </c>
    </row>
    <row r="21" spans="2:6">
      <c r="B21" s="11" t="s">
        <v>171</v>
      </c>
      <c r="C21" s="11" t="s">
        <v>172</v>
      </c>
      <c r="D21" s="8">
        <v>26029.48</v>
      </c>
      <c r="E21" s="7">
        <v>488</v>
      </c>
      <c r="F21" s="8">
        <v>6388.26</v>
      </c>
    </row>
    <row r="22" spans="2:6">
      <c r="B22" s="11" t="s">
        <v>173</v>
      </c>
      <c r="C22" s="11" t="s">
        <v>174</v>
      </c>
      <c r="D22" s="8">
        <v>25334.56</v>
      </c>
      <c r="E22" s="7">
        <v>373</v>
      </c>
      <c r="F22" s="8">
        <v>7453.07</v>
      </c>
    </row>
    <row r="23" spans="2:6">
      <c r="B23" s="11" t="s">
        <v>175</v>
      </c>
      <c r="C23" s="11" t="s">
        <v>176</v>
      </c>
      <c r="D23" s="8">
        <v>24896.46</v>
      </c>
      <c r="E23" s="7">
        <v>107</v>
      </c>
      <c r="F23" s="8">
        <v>6976.66</v>
      </c>
    </row>
    <row r="24" spans="2:6">
      <c r="B24" s="11" t="s">
        <v>177</v>
      </c>
      <c r="C24" s="11" t="s">
        <v>178</v>
      </c>
      <c r="D24" s="8">
        <v>21658.68</v>
      </c>
      <c r="E24" s="7">
        <v>175</v>
      </c>
      <c r="F24" s="8">
        <v>3797.05</v>
      </c>
    </row>
    <row r="25" spans="2:6">
      <c r="B25" s="11" t="s">
        <v>179</v>
      </c>
      <c r="C25" s="11" t="s">
        <v>180</v>
      </c>
      <c r="D25" s="8">
        <v>19943.34</v>
      </c>
      <c r="E25" s="7">
        <v>226</v>
      </c>
      <c r="F25" s="8">
        <v>6857.51</v>
      </c>
    </row>
    <row r="26" spans="2:6">
      <c r="B26" s="11" t="s">
        <v>181</v>
      </c>
      <c r="C26" s="11" t="s">
        <v>182</v>
      </c>
      <c r="D26" s="8">
        <v>19554.49</v>
      </c>
      <c r="E26" s="7">
        <v>278</v>
      </c>
      <c r="F26" s="8">
        <v>5166.4</v>
      </c>
    </row>
    <row r="27" spans="2:6">
      <c r="B27" s="11" t="s">
        <v>183</v>
      </c>
      <c r="C27" s="11" t="s">
        <v>184</v>
      </c>
      <c r="D27" s="8">
        <v>19156.01</v>
      </c>
      <c r="E27" s="7">
        <v>288</v>
      </c>
      <c r="F27" s="8">
        <v>6200.75</v>
      </c>
    </row>
    <row r="28" spans="2:6">
      <c r="B28" s="11" t="s">
        <v>185</v>
      </c>
      <c r="C28" s="11" t="s">
        <v>186</v>
      </c>
      <c r="D28" s="8">
        <v>18132.56</v>
      </c>
      <c r="E28" s="7">
        <v>158</v>
      </c>
      <c r="F28" s="8">
        <v>4938.309999999999</v>
      </c>
    </row>
    <row r="50" spans="2:3">
      <c r="B50" s="5" t="s">
        <v>187</v>
      </c>
    </row>
    <row r="51" spans="2:3">
      <c r="B51" s="6" t="s">
        <v>188</v>
      </c>
      <c r="C51" s="6" t="s">
        <v>16</v>
      </c>
    </row>
    <row r="52" spans="2:3">
      <c r="B52" s="11" t="s">
        <v>189</v>
      </c>
      <c r="C52" s="8">
        <v>205142.41</v>
      </c>
    </row>
    <row r="53" spans="2:3">
      <c r="B53" s="11" t="s">
        <v>190</v>
      </c>
      <c r="C53" s="8">
        <v>167742.99</v>
      </c>
    </row>
    <row r="54" spans="2:3">
      <c r="B54" s="11" t="s">
        <v>191</v>
      </c>
      <c r="C54" s="8">
        <v>115838.75</v>
      </c>
    </row>
    <row r="55" spans="2:3">
      <c r="B55" s="11" t="s">
        <v>192</v>
      </c>
      <c r="C55" s="8">
        <v>106202.56</v>
      </c>
    </row>
    <row r="56" spans="2:3">
      <c r="B56" s="11" t="s">
        <v>193</v>
      </c>
      <c r="C56" s="8">
        <v>99528.91</v>
      </c>
    </row>
    <row r="57" spans="2:3">
      <c r="B57" s="11" t="s">
        <v>194</v>
      </c>
      <c r="C57" s="8">
        <v>95440.10000000001</v>
      </c>
    </row>
    <row r="58" spans="2:3">
      <c r="B58" s="11" t="s">
        <v>195</v>
      </c>
      <c r="C58" s="8">
        <v>93507.41</v>
      </c>
    </row>
    <row r="59" spans="2:3">
      <c r="B59" s="11" t="s">
        <v>196</v>
      </c>
      <c r="C59" s="8">
        <v>87276.12</v>
      </c>
    </row>
    <row r="60" spans="2:3">
      <c r="B60" s="11" t="s">
        <v>197</v>
      </c>
      <c r="C60" s="8">
        <v>71309.7</v>
      </c>
    </row>
    <row r="61" spans="2:3">
      <c r="B61" s="11" t="s">
        <v>198</v>
      </c>
      <c r="C61" s="8">
        <v>66785.56</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B2:G67"/>
  <sheetViews>
    <sheetView showGridLines="0" workbookViewId="0"/>
  </sheetViews>
  <sheetFormatPr defaultRowHeight="15"/>
  <cols>
    <col min="1" max="1" width="2.7109375" customWidth="1"/>
    <col min="2" max="2" width="26.7109375" customWidth="1"/>
    <col min="3" max="3" width="14.7109375" customWidth="1"/>
    <col min="4" max="4" width="18.7109375" customWidth="1"/>
    <col min="5" max="5" width="15.7109375" customWidth="1"/>
    <col min="6" max="6" width="13.7109375" customWidth="1"/>
    <col min="7" max="7" width="18.7109375" customWidth="1"/>
  </cols>
  <sheetData>
    <row r="2" spans="2:7">
      <c r="B2" s="1" t="s">
        <v>199</v>
      </c>
    </row>
    <row r="3" spans="2:7">
      <c r="B3" s="2" t="s">
        <v>200</v>
      </c>
    </row>
    <row r="6" spans="2:7">
      <c r="B6" s="5" t="s">
        <v>201</v>
      </c>
    </row>
    <row r="7" spans="2:7">
      <c r="B7" s="6" t="s">
        <v>202</v>
      </c>
      <c r="C7" s="6" t="s">
        <v>203</v>
      </c>
      <c r="D7" s="6" t="s">
        <v>204</v>
      </c>
      <c r="E7" s="6" t="s">
        <v>205</v>
      </c>
      <c r="F7" s="6" t="s">
        <v>206</v>
      </c>
      <c r="G7" s="6" t="s">
        <v>207</v>
      </c>
    </row>
    <row r="8" spans="2:7">
      <c r="B8" s="11" t="s">
        <v>208</v>
      </c>
      <c r="C8" s="7">
        <v>341</v>
      </c>
      <c r="D8" s="8">
        <v>1174512.79</v>
      </c>
      <c r="E8" s="9">
        <v>17.05</v>
      </c>
      <c r="F8" s="9">
        <v>49.22876446166704</v>
      </c>
      <c r="G8" s="8">
        <v>3444.319032258064</v>
      </c>
    </row>
    <row r="9" spans="2:7">
      <c r="B9" s="11" t="s">
        <v>209</v>
      </c>
      <c r="C9" s="7">
        <v>350</v>
      </c>
      <c r="D9" s="8">
        <v>669692.86</v>
      </c>
      <c r="E9" s="9">
        <v>17.5</v>
      </c>
      <c r="F9" s="9">
        <v>28.06964074575992</v>
      </c>
      <c r="G9" s="8">
        <v>1913.408171428571</v>
      </c>
    </row>
    <row r="10" spans="2:7">
      <c r="B10" s="11" t="s">
        <v>210</v>
      </c>
      <c r="C10" s="7">
        <v>356</v>
      </c>
      <c r="D10" s="8">
        <v>231975.73</v>
      </c>
      <c r="E10" s="9">
        <v>17.8</v>
      </c>
      <c r="F10" s="9">
        <v>9.723077236982041</v>
      </c>
      <c r="G10" s="8">
        <v>651.6172191011236</v>
      </c>
    </row>
    <row r="11" spans="2:7">
      <c r="B11" s="11" t="s">
        <v>211</v>
      </c>
      <c r="C11" s="7">
        <v>387</v>
      </c>
      <c r="D11" s="8">
        <v>127881.78</v>
      </c>
      <c r="E11" s="9">
        <v>19.35</v>
      </c>
      <c r="F11" s="9">
        <v>5.360062555435197</v>
      </c>
      <c r="G11" s="8">
        <v>330.4438759689922</v>
      </c>
    </row>
    <row r="12" spans="2:7">
      <c r="B12" s="11" t="s">
        <v>212</v>
      </c>
      <c r="C12" s="7">
        <v>139</v>
      </c>
      <c r="D12" s="8">
        <v>114794.5</v>
      </c>
      <c r="E12" s="9">
        <v>6.950000000000001</v>
      </c>
      <c r="F12" s="9">
        <v>4.811519678721282</v>
      </c>
      <c r="G12" s="8">
        <v>825.8597122302158</v>
      </c>
    </row>
    <row r="13" spans="2:7">
      <c r="B13" s="11" t="s">
        <v>213</v>
      </c>
      <c r="C13" s="7">
        <v>170</v>
      </c>
      <c r="D13" s="8">
        <v>66968.60000000001</v>
      </c>
      <c r="E13" s="9">
        <v>8.5</v>
      </c>
      <c r="F13" s="9">
        <v>2.806935321434512</v>
      </c>
      <c r="G13" s="8">
        <v>393.9329411764706</v>
      </c>
    </row>
    <row r="14" spans="2:7">
      <c r="B14" s="11" t="s">
        <v>214</v>
      </c>
      <c r="C14" s="7">
        <v>257</v>
      </c>
      <c r="D14" s="8">
        <v>0</v>
      </c>
      <c r="E14" s="9">
        <v>12.85</v>
      </c>
      <c r="F14" s="9">
        <v>0</v>
      </c>
      <c r="G14" s="8">
        <v>0</v>
      </c>
    </row>
    <row r="30" spans="2:3">
      <c r="B30" s="5" t="s">
        <v>215</v>
      </c>
    </row>
    <row r="31" spans="2:3">
      <c r="B31" s="6" t="s">
        <v>216</v>
      </c>
      <c r="C31" s="6" t="s">
        <v>217</v>
      </c>
    </row>
    <row r="32" spans="2:3">
      <c r="B32" s="11" t="s">
        <v>218</v>
      </c>
      <c r="C32" s="11" t="s">
        <v>219</v>
      </c>
    </row>
    <row r="33" spans="2:3">
      <c r="B33" s="11" t="s">
        <v>220</v>
      </c>
      <c r="C33" s="11" t="s">
        <v>221</v>
      </c>
    </row>
    <row r="34" spans="2:3">
      <c r="B34" s="11" t="s">
        <v>222</v>
      </c>
      <c r="C34" s="11" t="s">
        <v>223</v>
      </c>
    </row>
    <row r="35" spans="2:3">
      <c r="B35" s="11" t="s">
        <v>224</v>
      </c>
      <c r="C35" s="11" t="s">
        <v>225</v>
      </c>
    </row>
    <row r="36" spans="2:3">
      <c r="B36" s="11" t="s">
        <v>226</v>
      </c>
      <c r="C36" s="11" t="s">
        <v>227</v>
      </c>
    </row>
    <row r="37" spans="2:3">
      <c r="B37" s="11" t="s">
        <v>228</v>
      </c>
      <c r="C37" s="11" t="s">
        <v>229</v>
      </c>
    </row>
    <row r="38" spans="2:3">
      <c r="B38" s="11" t="s">
        <v>230</v>
      </c>
      <c r="C38" s="11" t="s">
        <v>231</v>
      </c>
    </row>
    <row r="39" spans="2:3">
      <c r="B39" s="11" t="s">
        <v>232</v>
      </c>
      <c r="C39" s="11" t="s">
        <v>233</v>
      </c>
    </row>
    <row r="41" spans="2:3">
      <c r="B41" s="5" t="s">
        <v>234</v>
      </c>
    </row>
    <row r="42" spans="2:3">
      <c r="B42" s="6" t="s">
        <v>235</v>
      </c>
      <c r="C42" s="6" t="s">
        <v>203</v>
      </c>
    </row>
    <row r="43" spans="2:3">
      <c r="B43" s="11" t="s">
        <v>236</v>
      </c>
      <c r="C43" s="7">
        <v>1112</v>
      </c>
    </row>
    <row r="44" spans="2:3">
      <c r="B44" s="11" t="s">
        <v>237</v>
      </c>
      <c r="C44" s="7">
        <v>327</v>
      </c>
    </row>
    <row r="45" spans="2:3">
      <c r="B45" s="11" t="s">
        <v>238</v>
      </c>
      <c r="C45" s="7">
        <v>304</v>
      </c>
    </row>
    <row r="46" spans="2:3">
      <c r="B46" s="11" t="s">
        <v>239</v>
      </c>
      <c r="C46" s="7">
        <v>257</v>
      </c>
    </row>
    <row r="48" spans="2:3">
      <c r="B48" s="5" t="s">
        <v>240</v>
      </c>
    </row>
    <row r="49" spans="2:3">
      <c r="B49" s="6" t="s">
        <v>241</v>
      </c>
      <c r="C49" s="6" t="s">
        <v>203</v>
      </c>
    </row>
    <row r="50" spans="2:3">
      <c r="B50" s="11" t="s">
        <v>137</v>
      </c>
      <c r="C50" s="7">
        <v>869</v>
      </c>
    </row>
    <row r="51" spans="2:3">
      <c r="B51" s="11" t="s">
        <v>242</v>
      </c>
      <c r="C51" s="7">
        <v>214</v>
      </c>
    </row>
    <row r="52" spans="2:3">
      <c r="B52" s="11" t="s">
        <v>243</v>
      </c>
      <c r="C52" s="7">
        <v>134</v>
      </c>
    </row>
    <row r="53" spans="2:3">
      <c r="B53" s="11" t="s">
        <v>244</v>
      </c>
      <c r="C53" s="7">
        <v>132</v>
      </c>
    </row>
    <row r="54" spans="2:3">
      <c r="B54" s="11" t="s">
        <v>245</v>
      </c>
      <c r="C54" s="7">
        <v>121</v>
      </c>
    </row>
    <row r="55" spans="2:3">
      <c r="B55" s="11" t="s">
        <v>246</v>
      </c>
      <c r="C55" s="7">
        <v>111</v>
      </c>
    </row>
    <row r="56" spans="2:3">
      <c r="B56" s="11" t="s">
        <v>247</v>
      </c>
      <c r="C56" s="7">
        <v>110</v>
      </c>
    </row>
    <row r="57" spans="2:3">
      <c r="B57" s="11" t="s">
        <v>248</v>
      </c>
      <c r="C57" s="7">
        <v>83</v>
      </c>
    </row>
    <row r="59" spans="2:3">
      <c r="B59" s="5" t="s">
        <v>249</v>
      </c>
    </row>
    <row r="60" spans="2:3">
      <c r="B60" s="6" t="s">
        <v>249</v>
      </c>
      <c r="C60" s="6" t="s">
        <v>203</v>
      </c>
    </row>
    <row r="61" spans="2:3">
      <c r="B61" s="11" t="s">
        <v>250</v>
      </c>
      <c r="C61" s="7">
        <v>320</v>
      </c>
    </row>
    <row r="62" spans="2:3">
      <c r="B62" s="11" t="s">
        <v>101</v>
      </c>
      <c r="C62" s="7">
        <v>310</v>
      </c>
    </row>
    <row r="63" spans="2:3">
      <c r="B63" s="11" t="s">
        <v>106</v>
      </c>
      <c r="C63" s="7">
        <v>295</v>
      </c>
    </row>
    <row r="64" spans="2:3">
      <c r="B64" s="11" t="s">
        <v>103</v>
      </c>
      <c r="C64" s="7">
        <v>286</v>
      </c>
    </row>
    <row r="65" spans="2:3">
      <c r="B65" s="11" t="s">
        <v>105</v>
      </c>
      <c r="C65" s="7">
        <v>279</v>
      </c>
    </row>
    <row r="66" spans="2:3">
      <c r="B66" s="11" t="s">
        <v>102</v>
      </c>
      <c r="C66" s="7">
        <v>271</v>
      </c>
    </row>
    <row r="67" spans="2:3">
      <c r="B67" s="11" t="s">
        <v>104</v>
      </c>
      <c r="C67" s="7">
        <v>239</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B2:G67"/>
  <sheetViews>
    <sheetView showGridLines="0" workbookViewId="0"/>
  </sheetViews>
  <sheetFormatPr defaultRowHeight="15"/>
  <cols>
    <col min="1" max="1" width="2.7109375" customWidth="1"/>
    <col min="2" max="2" width="28.7109375" customWidth="1"/>
    <col min="3" max="3" width="13.7109375" customWidth="1"/>
    <col min="4" max="4" width="18.7109375" customWidth="1"/>
    <col min="5" max="5" width="16.7109375" customWidth="1"/>
    <col min="6" max="6" width="17.7109375" customWidth="1"/>
    <col min="7" max="7" width="14.7109375" customWidth="1"/>
  </cols>
  <sheetData>
    <row r="2" spans="2:7">
      <c r="B2" s="1" t="s">
        <v>251</v>
      </c>
    </row>
    <row r="3" spans="2:7">
      <c r="B3" s="2" t="s">
        <v>252</v>
      </c>
    </row>
    <row r="6" spans="2:7">
      <c r="B6" s="5" t="s">
        <v>253</v>
      </c>
    </row>
    <row r="7" spans="2:7">
      <c r="B7" s="6" t="s">
        <v>254</v>
      </c>
      <c r="C7" s="6" t="s">
        <v>255</v>
      </c>
      <c r="D7" s="6" t="s">
        <v>256</v>
      </c>
      <c r="E7" s="6" t="s">
        <v>257</v>
      </c>
      <c r="F7" s="6" t="s">
        <v>258</v>
      </c>
      <c r="G7" s="6" t="s">
        <v>259</v>
      </c>
    </row>
    <row r="8" spans="2:7">
      <c r="B8" s="11" t="s">
        <v>260</v>
      </c>
      <c r="C8" s="7">
        <v>7776</v>
      </c>
      <c r="D8" s="13">
        <v>4.066743827160494</v>
      </c>
      <c r="E8" s="9">
        <v>15.34207818930041</v>
      </c>
      <c r="F8" s="13">
        <v>3.795267489711934</v>
      </c>
      <c r="G8" s="14">
        <v>7.55585133744856</v>
      </c>
    </row>
    <row r="9" spans="2:7">
      <c r="B9" s="11" t="s">
        <v>261</v>
      </c>
      <c r="C9" s="7">
        <v>720</v>
      </c>
      <c r="D9" s="13">
        <v>0</v>
      </c>
      <c r="E9" s="9">
        <v>0</v>
      </c>
      <c r="F9" s="13">
        <v>4.011111111111111</v>
      </c>
      <c r="G9" s="14">
        <v>0</v>
      </c>
    </row>
    <row r="10" spans="2:7">
      <c r="B10" s="11" t="s">
        <v>262</v>
      </c>
      <c r="C10" s="7">
        <v>5501</v>
      </c>
      <c r="D10" s="13">
        <v>0</v>
      </c>
      <c r="E10" s="9">
        <v>0</v>
      </c>
      <c r="F10" s="13">
        <v>3.990183602981276</v>
      </c>
      <c r="G10" s="14">
        <v>0</v>
      </c>
    </row>
    <row r="12" spans="2:7">
      <c r="B12" s="5" t="s">
        <v>263</v>
      </c>
    </row>
    <row r="13" spans="2:7">
      <c r="B13" s="6" t="s">
        <v>264</v>
      </c>
      <c r="C13" s="6" t="s">
        <v>255</v>
      </c>
      <c r="D13" s="6" t="s">
        <v>256</v>
      </c>
      <c r="E13" s="6" t="s">
        <v>257</v>
      </c>
      <c r="F13" s="6" t="s">
        <v>258</v>
      </c>
    </row>
    <row r="14" spans="2:7">
      <c r="B14" s="11" t="s">
        <v>265</v>
      </c>
      <c r="C14" s="7">
        <v>2686</v>
      </c>
      <c r="D14" s="13">
        <v>4.063291139240507</v>
      </c>
      <c r="E14" s="9">
        <v>15.67386448250186</v>
      </c>
      <c r="F14" s="13">
        <v>3.816455696202532</v>
      </c>
    </row>
    <row r="15" spans="2:7">
      <c r="B15" s="11" t="s">
        <v>266</v>
      </c>
      <c r="C15" s="7">
        <v>2572</v>
      </c>
      <c r="D15" s="13">
        <v>4.111197511664074</v>
      </c>
      <c r="E15" s="9">
        <v>15.43545878693624</v>
      </c>
      <c r="F15" s="13">
        <v>3.802877138413686</v>
      </c>
    </row>
    <row r="16" spans="2:7">
      <c r="B16" s="11" t="s">
        <v>267</v>
      </c>
      <c r="C16" s="7">
        <v>2518</v>
      </c>
      <c r="D16" s="13">
        <v>4.025019857029388</v>
      </c>
      <c r="E16" s="9">
        <v>14.89277204130262</v>
      </c>
      <c r="F16" s="13">
        <v>3.764892772041303</v>
      </c>
    </row>
    <row r="17" spans="2:6">
      <c r="B17" s="11" t="s">
        <v>268</v>
      </c>
      <c r="C17" s="7">
        <v>6221</v>
      </c>
      <c r="D17" s="13">
        <v>0</v>
      </c>
      <c r="E17" s="9">
        <v>0</v>
      </c>
      <c r="F17" s="13">
        <v>3.992605690403472</v>
      </c>
    </row>
    <row r="33" spans="2:5">
      <c r="B33" s="5" t="s">
        <v>269</v>
      </c>
    </row>
    <row r="34" spans="2:5">
      <c r="B34" s="6" t="s">
        <v>270</v>
      </c>
      <c r="C34" s="6" t="s">
        <v>271</v>
      </c>
      <c r="D34" s="6" t="s">
        <v>272</v>
      </c>
      <c r="E34" s="6" t="s">
        <v>273</v>
      </c>
    </row>
    <row r="35" spans="2:5">
      <c r="B35" s="11" t="s">
        <v>274</v>
      </c>
      <c r="C35" s="7">
        <v>881</v>
      </c>
      <c r="D35" s="9">
        <v>44.05</v>
      </c>
      <c r="E35" s="8">
        <v>30449.71</v>
      </c>
    </row>
    <row r="36" spans="2:5">
      <c r="B36" s="11" t="s">
        <v>275</v>
      </c>
      <c r="C36" s="7">
        <v>433</v>
      </c>
      <c r="D36" s="9">
        <v>21.65</v>
      </c>
      <c r="E36" s="8">
        <v>12533.02</v>
      </c>
    </row>
    <row r="37" spans="2:5">
      <c r="B37" s="11" t="s">
        <v>276</v>
      </c>
      <c r="C37" s="7">
        <v>300</v>
      </c>
      <c r="D37" s="9">
        <v>15</v>
      </c>
      <c r="E37" s="8">
        <v>8848.380000000001</v>
      </c>
    </row>
    <row r="38" spans="2:5">
      <c r="B38" s="11" t="s">
        <v>277</v>
      </c>
      <c r="C38" s="7">
        <v>209</v>
      </c>
      <c r="D38" s="9">
        <v>10.45</v>
      </c>
      <c r="E38" s="8">
        <v>7226.41</v>
      </c>
    </row>
    <row r="39" spans="2:5">
      <c r="B39" s="11" t="s">
        <v>278</v>
      </c>
      <c r="C39" s="7">
        <v>177</v>
      </c>
      <c r="D39" s="9">
        <v>8.85</v>
      </c>
      <c r="E39" s="8">
        <v>5773.13</v>
      </c>
    </row>
    <row r="55" spans="2:6">
      <c r="B55" s="5" t="s">
        <v>279</v>
      </c>
    </row>
    <row r="56" spans="2:6">
      <c r="B56" s="6" t="s">
        <v>122</v>
      </c>
      <c r="C56" s="6" t="s">
        <v>280</v>
      </c>
      <c r="D56" s="6" t="s">
        <v>273</v>
      </c>
      <c r="E56" s="6" t="s">
        <v>123</v>
      </c>
      <c r="F56" s="6" t="s">
        <v>281</v>
      </c>
    </row>
    <row r="57" spans="2:6">
      <c r="B57" s="11" t="s">
        <v>125</v>
      </c>
      <c r="C57" s="7">
        <v>324</v>
      </c>
      <c r="D57" s="8">
        <v>15013.04</v>
      </c>
      <c r="E57" s="7">
        <v>11702</v>
      </c>
      <c r="F57" s="9">
        <v>2.768757477354298</v>
      </c>
    </row>
    <row r="58" spans="2:6">
      <c r="B58" s="11" t="s">
        <v>131</v>
      </c>
      <c r="C58" s="7">
        <v>211</v>
      </c>
      <c r="D58" s="8">
        <v>3296.29</v>
      </c>
      <c r="E58" s="7">
        <v>7759</v>
      </c>
      <c r="F58" s="9">
        <v>2.719422606005929</v>
      </c>
    </row>
    <row r="59" spans="2:6">
      <c r="B59" s="11" t="s">
        <v>126</v>
      </c>
      <c r="C59" s="7">
        <v>197</v>
      </c>
      <c r="D59" s="8">
        <v>7246.96</v>
      </c>
      <c r="E59" s="7">
        <v>7328</v>
      </c>
      <c r="F59" s="9">
        <v>2.688318777292576</v>
      </c>
    </row>
    <row r="60" spans="2:6">
      <c r="B60" s="11" t="s">
        <v>130</v>
      </c>
      <c r="C60" s="7">
        <v>134</v>
      </c>
      <c r="D60" s="8">
        <v>3627.19</v>
      </c>
      <c r="E60" s="7">
        <v>4989</v>
      </c>
      <c r="F60" s="9">
        <v>2.685908999799559</v>
      </c>
    </row>
    <row r="61" spans="2:6">
      <c r="B61" s="11" t="s">
        <v>134</v>
      </c>
      <c r="C61" s="7">
        <v>69</v>
      </c>
      <c r="D61" s="8">
        <v>1060.17</v>
      </c>
      <c r="E61" s="7">
        <v>2657</v>
      </c>
      <c r="F61" s="9">
        <v>2.596913812570568</v>
      </c>
    </row>
    <row r="62" spans="2:6">
      <c r="B62" s="11" t="s">
        <v>124</v>
      </c>
      <c r="C62" s="7">
        <v>402</v>
      </c>
      <c r="D62" s="8">
        <v>15531.42</v>
      </c>
      <c r="E62" s="7">
        <v>16202</v>
      </c>
      <c r="F62" s="9">
        <v>2.481175163560054</v>
      </c>
    </row>
    <row r="63" spans="2:6">
      <c r="B63" s="11" t="s">
        <v>128</v>
      </c>
      <c r="C63" s="7">
        <v>143</v>
      </c>
      <c r="D63" s="8">
        <v>4934.84</v>
      </c>
      <c r="E63" s="7">
        <v>5792</v>
      </c>
      <c r="F63" s="9">
        <v>2.468922651933702</v>
      </c>
    </row>
    <row r="64" spans="2:6">
      <c r="B64" s="11" t="s">
        <v>127</v>
      </c>
      <c r="C64" s="7">
        <v>92</v>
      </c>
      <c r="D64" s="8">
        <v>6059.73</v>
      </c>
      <c r="E64" s="7">
        <v>3828</v>
      </c>
      <c r="F64" s="9">
        <v>2.403343782654127</v>
      </c>
    </row>
    <row r="65" spans="2:6">
      <c r="B65" s="11" t="s">
        <v>129</v>
      </c>
      <c r="C65" s="7">
        <v>177</v>
      </c>
      <c r="D65" s="8">
        <v>4528.11</v>
      </c>
      <c r="E65" s="7">
        <v>7579</v>
      </c>
      <c r="F65" s="9">
        <v>2.335400448607996</v>
      </c>
    </row>
    <row r="66" spans="2:6">
      <c r="B66" s="11" t="s">
        <v>133</v>
      </c>
      <c r="C66" s="7">
        <v>79</v>
      </c>
      <c r="D66" s="8">
        <v>903.53</v>
      </c>
      <c r="E66" s="7">
        <v>3441</v>
      </c>
      <c r="F66" s="9">
        <v>2.295844231328102</v>
      </c>
    </row>
    <row r="67" spans="2:6">
      <c r="B67" s="11" t="s">
        <v>132</v>
      </c>
      <c r="C67" s="7">
        <v>172</v>
      </c>
      <c r="D67" s="8">
        <v>2629.37</v>
      </c>
      <c r="E67" s="7">
        <v>7709</v>
      </c>
      <c r="F67" s="9">
        <v>2.231158386301725</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B2:I34"/>
  <sheetViews>
    <sheetView showGridLines="0" workbookViewId="0"/>
  </sheetViews>
  <sheetFormatPr defaultRowHeight="15"/>
  <cols>
    <col min="1" max="1" width="2.7109375" customWidth="1"/>
    <col min="2" max="2" width="22.7109375" customWidth="1"/>
    <col min="3" max="5" width="15.7109375" customWidth="1"/>
    <col min="6" max="6" width="17.7109375" customWidth="1"/>
    <col min="7" max="7" width="15.7109375" customWidth="1"/>
    <col min="8" max="9" width="17.7109375" customWidth="1"/>
  </cols>
  <sheetData>
    <row r="2" spans="2:9">
      <c r="B2" s="1" t="s">
        <v>282</v>
      </c>
    </row>
    <row r="3" spans="2:9">
      <c r="B3" s="2" t="s">
        <v>283</v>
      </c>
    </row>
    <row r="6" spans="2:9">
      <c r="B6" s="5" t="s">
        <v>284</v>
      </c>
    </row>
    <row r="7" spans="2:9">
      <c r="B7" s="6" t="s">
        <v>285</v>
      </c>
      <c r="C7" s="6" t="s">
        <v>286</v>
      </c>
      <c r="D7" s="6" t="s">
        <v>287</v>
      </c>
      <c r="E7" s="6" t="s">
        <v>288</v>
      </c>
      <c r="F7" s="6" t="s">
        <v>289</v>
      </c>
      <c r="G7" s="6" t="s">
        <v>290</v>
      </c>
      <c r="H7" s="6" t="s">
        <v>291</v>
      </c>
      <c r="I7" s="6" t="s">
        <v>292</v>
      </c>
    </row>
    <row r="8" spans="2:9">
      <c r="B8" s="11" t="s">
        <v>104</v>
      </c>
      <c r="C8" s="7">
        <v>31</v>
      </c>
      <c r="D8" s="8">
        <v>61703.46</v>
      </c>
      <c r="E8" s="8">
        <v>595707.83</v>
      </c>
      <c r="F8" s="13">
        <v>9.654366708123012</v>
      </c>
      <c r="G8" s="7">
        <v>15356</v>
      </c>
      <c r="H8" s="14">
        <v>4.018198749674394</v>
      </c>
      <c r="I8" s="9">
        <v>8.403931612705501</v>
      </c>
    </row>
    <row r="9" spans="2:9">
      <c r="B9" s="11" t="s">
        <v>293</v>
      </c>
      <c r="C9" s="7">
        <v>36</v>
      </c>
      <c r="D9" s="8">
        <v>63938.53</v>
      </c>
      <c r="E9" s="8">
        <v>521751.24</v>
      </c>
      <c r="F9" s="13">
        <v>8.160200742807193</v>
      </c>
      <c r="G9" s="7">
        <v>14425</v>
      </c>
      <c r="H9" s="14">
        <v>4.432480415944541</v>
      </c>
      <c r="I9" s="9">
        <v>7.501066009380883</v>
      </c>
    </row>
    <row r="10" spans="2:9">
      <c r="B10" s="11" t="s">
        <v>105</v>
      </c>
      <c r="C10" s="7">
        <v>27</v>
      </c>
      <c r="D10" s="8">
        <v>50839.02</v>
      </c>
      <c r="E10" s="8">
        <v>387657.35</v>
      </c>
      <c r="F10" s="13">
        <v>7.625193207894251</v>
      </c>
      <c r="G10" s="7">
        <v>9024</v>
      </c>
      <c r="H10" s="14">
        <v>5.63375664893617</v>
      </c>
      <c r="I10" s="9">
        <v>7.938281270617627</v>
      </c>
    </row>
    <row r="11" spans="2:9">
      <c r="B11" s="11" t="s">
        <v>102</v>
      </c>
      <c r="C11" s="7">
        <v>34</v>
      </c>
      <c r="D11" s="8">
        <v>60803.4</v>
      </c>
      <c r="E11" s="8">
        <v>425983.48</v>
      </c>
      <c r="F11" s="13">
        <v>7.005915458675008</v>
      </c>
      <c r="G11" s="7">
        <v>10857</v>
      </c>
      <c r="H11" s="14">
        <v>5.600386847195358</v>
      </c>
      <c r="I11" s="9">
        <v>8.233920080086762</v>
      </c>
    </row>
    <row r="12" spans="2:9">
      <c r="B12" s="11" t="s">
        <v>294</v>
      </c>
      <c r="C12" s="7">
        <v>42</v>
      </c>
      <c r="D12" s="8">
        <v>77387.03999999999</v>
      </c>
      <c r="E12" s="8">
        <v>540023.97</v>
      </c>
      <c r="F12" s="13">
        <v>6.978222322497411</v>
      </c>
      <c r="G12" s="7">
        <v>14522</v>
      </c>
      <c r="H12" s="14">
        <v>5.328951934995179</v>
      </c>
      <c r="I12" s="9">
        <v>6.662506996504042</v>
      </c>
    </row>
    <row r="13" spans="2:9">
      <c r="B13" s="11" t="s">
        <v>295</v>
      </c>
      <c r="C13" s="7">
        <v>51</v>
      </c>
      <c r="D13" s="8">
        <v>176640.22</v>
      </c>
      <c r="E13" s="8">
        <v>348556.03</v>
      </c>
      <c r="F13" s="13">
        <v>1.973254052785939</v>
      </c>
      <c r="G13" s="7">
        <v>8694</v>
      </c>
      <c r="H13" s="14">
        <v>20.31748562226823</v>
      </c>
      <c r="I13" s="9">
        <v>18.2260329972118</v>
      </c>
    </row>
    <row r="14" spans="2:9">
      <c r="B14" s="11" t="s">
        <v>296</v>
      </c>
      <c r="C14" s="7">
        <v>35</v>
      </c>
      <c r="D14" s="8">
        <v>97272.44</v>
      </c>
      <c r="E14" s="8">
        <v>174290.8</v>
      </c>
      <c r="F14" s="13">
        <v>1.791779871050834</v>
      </c>
      <c r="G14" s="7">
        <v>4519</v>
      </c>
      <c r="H14" s="14">
        <v>21.52521354281921</v>
      </c>
      <c r="I14" s="9">
        <v>15.73413181992271</v>
      </c>
    </row>
    <row r="15" spans="2:9">
      <c r="B15" s="11" t="s">
        <v>297</v>
      </c>
      <c r="C15" s="7">
        <v>44</v>
      </c>
      <c r="D15" s="8">
        <v>157925.4</v>
      </c>
      <c r="E15" s="8">
        <v>260232.53</v>
      </c>
      <c r="F15" s="13">
        <v>1.647819350148868</v>
      </c>
      <c r="G15" s="7">
        <v>6680</v>
      </c>
      <c r="H15" s="14">
        <v>23.64152694610778</v>
      </c>
      <c r="I15" s="9">
        <v>13.43145534242168</v>
      </c>
    </row>
    <row r="31" spans="2:7">
      <c r="B31" s="5" t="s">
        <v>298</v>
      </c>
    </row>
    <row r="32" spans="2:7">
      <c r="B32" s="6" t="s">
        <v>299</v>
      </c>
      <c r="C32" s="6" t="s">
        <v>18</v>
      </c>
      <c r="D32" s="6" t="s">
        <v>16</v>
      </c>
      <c r="E32" s="6" t="s">
        <v>9</v>
      </c>
      <c r="F32" s="6" t="s">
        <v>300</v>
      </c>
      <c r="G32" s="6" t="s">
        <v>99</v>
      </c>
    </row>
    <row r="33" spans="2:7">
      <c r="B33" s="11" t="s">
        <v>301</v>
      </c>
      <c r="C33" s="7">
        <v>8393</v>
      </c>
      <c r="D33" s="8">
        <v>1464594.45</v>
      </c>
      <c r="E33" s="8">
        <v>174.5019003931848</v>
      </c>
      <c r="F33" s="9">
        <v>35.03651376146789</v>
      </c>
      <c r="G33" s="8">
        <v>435703.37</v>
      </c>
    </row>
    <row r="34" spans="2:7">
      <c r="B34" s="11" t="s">
        <v>302</v>
      </c>
      <c r="C34" s="7">
        <v>5676</v>
      </c>
      <c r="D34" s="8">
        <v>921231.8100000001</v>
      </c>
      <c r="E34" s="8">
        <v>162.3029968287526</v>
      </c>
      <c r="F34" s="9">
        <v>31.10565715292459</v>
      </c>
      <c r="G34" s="8">
        <v>250346.62</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B2:F38"/>
  <sheetViews>
    <sheetView showGridLines="0" workbookViewId="0"/>
  </sheetViews>
  <sheetFormatPr defaultRowHeight="15"/>
  <cols>
    <col min="1" max="1" width="2.7109375" customWidth="1"/>
    <col min="2" max="2" width="30.7109375" customWidth="1"/>
    <col min="3" max="3" width="12.7109375" customWidth="1"/>
    <col min="4" max="4" width="16.7109375" customWidth="1"/>
    <col min="5" max="5" width="17.7109375" customWidth="1"/>
    <col min="6" max="6" width="15.7109375" customWidth="1"/>
  </cols>
  <sheetData>
    <row r="2" spans="2:3">
      <c r="B2" s="1" t="s">
        <v>303</v>
      </c>
    </row>
    <row r="3" spans="2:3">
      <c r="B3" s="2" t="s">
        <v>304</v>
      </c>
    </row>
    <row r="6" spans="2:3">
      <c r="B6" s="5" t="s">
        <v>305</v>
      </c>
    </row>
    <row r="7" spans="2:3">
      <c r="B7" s="6" t="s">
        <v>216</v>
      </c>
      <c r="C7" s="6" t="s">
        <v>217</v>
      </c>
    </row>
    <row r="8" spans="2:3">
      <c r="B8" s="11" t="s">
        <v>306</v>
      </c>
      <c r="C8" s="11" t="s">
        <v>307</v>
      </c>
    </row>
    <row r="9" spans="2:3">
      <c r="B9" s="11" t="s">
        <v>308</v>
      </c>
      <c r="C9" s="11" t="s">
        <v>309</v>
      </c>
    </row>
    <row r="10" spans="2:3">
      <c r="B10" s="11" t="s">
        <v>310</v>
      </c>
      <c r="C10" s="11" t="s">
        <v>311</v>
      </c>
    </row>
    <row r="11" spans="2:3">
      <c r="B11" s="11" t="s">
        <v>312</v>
      </c>
      <c r="C11" s="11" t="s">
        <v>313</v>
      </c>
    </row>
    <row r="12" spans="2:3">
      <c r="B12" s="11" t="s">
        <v>314</v>
      </c>
      <c r="C12" s="11" t="s">
        <v>315</v>
      </c>
    </row>
    <row r="13" spans="2:3">
      <c r="B13" s="11" t="s">
        <v>316</v>
      </c>
      <c r="C13" s="11" t="s">
        <v>317</v>
      </c>
    </row>
    <row r="14" spans="2:3">
      <c r="B14" s="11" t="s">
        <v>318</v>
      </c>
      <c r="C14" s="11" t="s">
        <v>319</v>
      </c>
    </row>
    <row r="15" spans="2:3">
      <c r="B15" s="11" t="s">
        <v>320</v>
      </c>
      <c r="C15" s="11" t="s">
        <v>321</v>
      </c>
    </row>
    <row r="16" spans="2:3">
      <c r="B16" s="11" t="s">
        <v>322</v>
      </c>
      <c r="C16" s="11" t="s">
        <v>323</v>
      </c>
    </row>
    <row r="17" spans="2:6">
      <c r="B17" s="11" t="s">
        <v>324</v>
      </c>
      <c r="C17" s="11" t="s">
        <v>325</v>
      </c>
    </row>
    <row r="19" spans="2:6">
      <c r="B19" s="5" t="s">
        <v>326</v>
      </c>
    </row>
    <row r="20" spans="2:6">
      <c r="B20" s="6" t="s">
        <v>216</v>
      </c>
      <c r="C20" s="6" t="s">
        <v>217</v>
      </c>
    </row>
    <row r="21" spans="2:6">
      <c r="B21" s="11" t="s">
        <v>327</v>
      </c>
      <c r="C21" s="11" t="s">
        <v>328</v>
      </c>
    </row>
    <row r="22" spans="2:6">
      <c r="B22" s="11" t="s">
        <v>329</v>
      </c>
      <c r="C22" s="11" t="s">
        <v>330</v>
      </c>
    </row>
    <row r="23" spans="2:6">
      <c r="B23" s="11" t="s">
        <v>331</v>
      </c>
      <c r="C23" s="11" t="s">
        <v>332</v>
      </c>
    </row>
    <row r="24" spans="2:6">
      <c r="B24" s="11" t="s">
        <v>333</v>
      </c>
      <c r="C24" s="11" t="s">
        <v>334</v>
      </c>
    </row>
    <row r="25" spans="2:6">
      <c r="B25" s="11" t="s">
        <v>335</v>
      </c>
      <c r="C25" s="11" t="s">
        <v>336</v>
      </c>
    </row>
    <row r="27" spans="2:6">
      <c r="B27" s="5" t="s">
        <v>337</v>
      </c>
    </row>
    <row r="28" spans="2:6">
      <c r="B28" s="6" t="s">
        <v>338</v>
      </c>
      <c r="C28" s="6" t="s">
        <v>339</v>
      </c>
      <c r="D28" s="6" t="s">
        <v>340</v>
      </c>
      <c r="E28" s="6" t="s">
        <v>341</v>
      </c>
      <c r="F28" s="6" t="s">
        <v>342</v>
      </c>
    </row>
    <row r="29" spans="2:6">
      <c r="B29" s="11" t="s">
        <v>343</v>
      </c>
      <c r="C29" s="7">
        <v>84</v>
      </c>
      <c r="D29" s="8">
        <v>236021.18</v>
      </c>
      <c r="E29" s="13">
        <v>1.05952380952381</v>
      </c>
      <c r="F29" s="13">
        <v>0.91</v>
      </c>
    </row>
    <row r="30" spans="2:6">
      <c r="B30" s="11" t="s">
        <v>344</v>
      </c>
      <c r="C30" s="7">
        <v>69</v>
      </c>
      <c r="D30" s="8">
        <v>220459.2</v>
      </c>
      <c r="E30" s="13">
        <v>1.898550724637681</v>
      </c>
      <c r="F30" s="13">
        <v>0.84</v>
      </c>
    </row>
    <row r="31" spans="2:6">
      <c r="B31" s="11" t="s">
        <v>345</v>
      </c>
      <c r="C31" s="7">
        <v>95</v>
      </c>
      <c r="D31" s="8">
        <v>190523.75</v>
      </c>
      <c r="E31" s="13">
        <v>1.610526315789474</v>
      </c>
      <c r="F31" s="13">
        <v>0.83</v>
      </c>
    </row>
    <row r="32" spans="2:6">
      <c r="B32" s="11" t="s">
        <v>346</v>
      </c>
      <c r="C32" s="7">
        <v>78</v>
      </c>
      <c r="D32" s="8">
        <v>186063.95</v>
      </c>
      <c r="E32" s="13">
        <v>2.141025641025641</v>
      </c>
      <c r="F32" s="13">
        <v>0.85</v>
      </c>
    </row>
    <row r="33" spans="2:6">
      <c r="B33" s="11" t="s">
        <v>347</v>
      </c>
      <c r="C33" s="7">
        <v>83</v>
      </c>
      <c r="D33" s="8">
        <v>184955.53</v>
      </c>
      <c r="E33" s="13">
        <v>1.975903614457831</v>
      </c>
      <c r="F33" s="13">
        <v>0.82</v>
      </c>
    </row>
    <row r="34" spans="2:6">
      <c r="B34" s="11" t="s">
        <v>348</v>
      </c>
      <c r="C34" s="7">
        <v>62</v>
      </c>
      <c r="D34" s="8">
        <v>183258.77</v>
      </c>
      <c r="E34" s="13">
        <v>0.6129032258064516</v>
      </c>
      <c r="F34" s="13">
        <v>0.9399999999999999</v>
      </c>
    </row>
    <row r="35" spans="2:6">
      <c r="B35" s="11" t="s">
        <v>349</v>
      </c>
      <c r="C35" s="7">
        <v>99</v>
      </c>
      <c r="D35" s="8">
        <v>183146.91</v>
      </c>
      <c r="E35" s="13">
        <v>0.4242424242424243</v>
      </c>
      <c r="F35" s="13">
        <v>0.98</v>
      </c>
    </row>
    <row r="36" spans="2:6">
      <c r="B36" s="11" t="s">
        <v>350</v>
      </c>
      <c r="C36" s="7">
        <v>68</v>
      </c>
      <c r="D36" s="8">
        <v>182937.38</v>
      </c>
      <c r="E36" s="13">
        <v>2.411764705882353</v>
      </c>
      <c r="F36" s="13">
        <v>0.85</v>
      </c>
    </row>
    <row r="37" spans="2:6">
      <c r="B37" s="11" t="s">
        <v>351</v>
      </c>
      <c r="C37" s="7">
        <v>74</v>
      </c>
      <c r="D37" s="8">
        <v>182525.14</v>
      </c>
      <c r="E37" s="13">
        <v>2.824324324324324</v>
      </c>
      <c r="F37" s="13">
        <v>0.73</v>
      </c>
    </row>
    <row r="38" spans="2:6">
      <c r="B38" s="11" t="s">
        <v>352</v>
      </c>
      <c r="C38" s="7">
        <v>78</v>
      </c>
      <c r="D38" s="8">
        <v>156996.53</v>
      </c>
      <c r="E38" s="13">
        <v>2.564102564102564</v>
      </c>
      <c r="F38" s="13">
        <v>0.77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B2:E51"/>
  <sheetViews>
    <sheetView showGridLines="0" workbookViewId="0"/>
  </sheetViews>
  <sheetFormatPr defaultRowHeight="15"/>
  <cols>
    <col min="1" max="1" width="2.7109375" customWidth="1"/>
    <col min="2" max="2" width="14.7109375" customWidth="1"/>
    <col min="3" max="3" width="18.7109375" customWidth="1"/>
    <col min="4" max="4" width="17.7109375" customWidth="1"/>
    <col min="5" max="5" width="20.7109375" customWidth="1"/>
  </cols>
  <sheetData>
    <row r="2" spans="2:5">
      <c r="B2" s="1" t="s">
        <v>353</v>
      </c>
    </row>
    <row r="3" spans="2:5">
      <c r="B3" s="2" t="s">
        <v>354</v>
      </c>
    </row>
    <row r="6" spans="2:5">
      <c r="B6" s="5" t="s">
        <v>355</v>
      </c>
    </row>
    <row r="7" spans="2:5">
      <c r="B7" s="6" t="s">
        <v>108</v>
      </c>
      <c r="C7" s="6" t="s">
        <v>356</v>
      </c>
      <c r="D7" s="6" t="s">
        <v>357</v>
      </c>
      <c r="E7" s="6" t="s">
        <v>358</v>
      </c>
    </row>
    <row r="8" spans="2:5">
      <c r="B8" s="11" t="s">
        <v>111</v>
      </c>
      <c r="C8" s="8">
        <v>3191400</v>
      </c>
      <c r="D8" s="8">
        <v>125748.61</v>
      </c>
      <c r="E8" s="9">
        <v>3.94023343986965</v>
      </c>
    </row>
    <row r="9" spans="2:5">
      <c r="B9" s="11" t="s">
        <v>117</v>
      </c>
      <c r="C9" s="8">
        <v>1560240</v>
      </c>
      <c r="D9" s="8">
        <v>87571.14999999999</v>
      </c>
      <c r="E9" s="9">
        <v>5.612671768445879</v>
      </c>
    </row>
    <row r="10" spans="2:5">
      <c r="B10" s="11" t="s">
        <v>119</v>
      </c>
      <c r="C10" s="8">
        <v>1008480</v>
      </c>
      <c r="D10" s="8">
        <v>63806.49</v>
      </c>
      <c r="E10" s="9">
        <v>6.326996073298428</v>
      </c>
    </row>
    <row r="11" spans="2:5">
      <c r="B11" s="11" t="s">
        <v>112</v>
      </c>
      <c r="C11" s="8">
        <v>1560240</v>
      </c>
      <c r="D11" s="8">
        <v>100927.46</v>
      </c>
      <c r="E11" s="9">
        <v>6.468713787622417</v>
      </c>
    </row>
    <row r="12" spans="2:5">
      <c r="B12" s="11" t="s">
        <v>118</v>
      </c>
      <c r="C12" s="8">
        <v>1276560</v>
      </c>
      <c r="D12" s="8">
        <v>84377.12</v>
      </c>
      <c r="E12" s="9">
        <v>6.609726138998558</v>
      </c>
    </row>
    <row r="13" spans="2:5">
      <c r="B13" s="11" t="s">
        <v>120</v>
      </c>
      <c r="C13" s="8">
        <v>694320</v>
      </c>
      <c r="D13" s="8">
        <v>48288.89</v>
      </c>
      <c r="E13" s="9">
        <v>6.954846468487153</v>
      </c>
    </row>
    <row r="14" spans="2:5">
      <c r="B14" s="11" t="s">
        <v>116</v>
      </c>
      <c r="C14" s="8">
        <v>1276560</v>
      </c>
      <c r="D14" s="8">
        <v>91560.5</v>
      </c>
      <c r="E14" s="9">
        <v>7.172439994986527</v>
      </c>
    </row>
    <row r="15" spans="2:5">
      <c r="B15" s="11" t="s">
        <v>115</v>
      </c>
      <c r="C15" s="8">
        <v>1296240</v>
      </c>
      <c r="D15" s="8">
        <v>93550.28999999999</v>
      </c>
      <c r="E15" s="9">
        <v>7.217050083317904</v>
      </c>
    </row>
    <row r="16" spans="2:5">
      <c r="B16" s="11" t="s">
        <v>114</v>
      </c>
      <c r="C16" s="8">
        <v>1296240</v>
      </c>
      <c r="D16" s="8">
        <v>93722.28</v>
      </c>
      <c r="E16" s="9">
        <v>7.230318459544528</v>
      </c>
    </row>
    <row r="17" spans="2:5">
      <c r="B17" s="11" t="s">
        <v>113</v>
      </c>
      <c r="C17" s="8">
        <v>1276560</v>
      </c>
      <c r="D17" s="8">
        <v>98250.00999999999</v>
      </c>
      <c r="E17" s="9">
        <v>7.696466284389296</v>
      </c>
    </row>
    <row r="18" spans="2:5">
      <c r="B18" s="11" t="s">
        <v>110</v>
      </c>
      <c r="C18" s="8">
        <v>1276560</v>
      </c>
      <c r="D18" s="8">
        <v>145896.42</v>
      </c>
      <c r="E18" s="9">
        <v>11.42887290844144</v>
      </c>
    </row>
    <row r="19" spans="2:5">
      <c r="B19" s="11" t="s">
        <v>109</v>
      </c>
      <c r="C19" s="8">
        <v>4255200</v>
      </c>
      <c r="D19" s="8">
        <v>1352127.04</v>
      </c>
      <c r="E19" s="9">
        <v>31.77587516450461</v>
      </c>
    </row>
    <row r="38" spans="2:3">
      <c r="B38" s="5" t="s">
        <v>359</v>
      </c>
    </row>
    <row r="39" spans="2:3">
      <c r="B39" s="6" t="s">
        <v>360</v>
      </c>
      <c r="C39" s="6" t="s">
        <v>361</v>
      </c>
    </row>
    <row r="40" spans="2:3">
      <c r="B40" s="11" t="s">
        <v>362</v>
      </c>
      <c r="C40" s="8">
        <v>60103.16909955713</v>
      </c>
    </row>
    <row r="41" spans="2:3">
      <c r="B41" s="11" t="s">
        <v>363</v>
      </c>
      <c r="C41" s="8">
        <v>75991.24020164319</v>
      </c>
    </row>
    <row r="42" spans="2:3">
      <c r="B42" s="11" t="s">
        <v>364</v>
      </c>
      <c r="C42" s="8">
        <v>67039.94651209119</v>
      </c>
    </row>
    <row r="43" spans="2:3">
      <c r="B43" s="11" t="s">
        <v>365</v>
      </c>
      <c r="C43" s="8">
        <v>60231.49162122971</v>
      </c>
    </row>
    <row r="44" spans="2:3">
      <c r="B44" s="11" t="s">
        <v>366</v>
      </c>
      <c r="C44" s="8">
        <v>57440.02110710147</v>
      </c>
    </row>
    <row r="45" spans="2:3">
      <c r="B45" s="11" t="s">
        <v>367</v>
      </c>
      <c r="C45" s="8">
        <v>68646.25979763622</v>
      </c>
    </row>
    <row r="46" spans="2:3">
      <c r="B46" s="11" t="s">
        <v>368</v>
      </c>
      <c r="C46" s="8">
        <v>62606.54902490956</v>
      </c>
    </row>
    <row r="47" spans="2:3">
      <c r="B47" s="11" t="s">
        <v>369</v>
      </c>
      <c r="C47" s="8">
        <v>72031.88428667821</v>
      </c>
    </row>
    <row r="48" spans="2:3">
      <c r="B48" s="11" t="s">
        <v>370</v>
      </c>
      <c r="C48" s="8">
        <v>79651.61224912913</v>
      </c>
    </row>
    <row r="49" spans="2:3">
      <c r="B49" s="11" t="s">
        <v>371</v>
      </c>
      <c r="C49" s="8">
        <v>70141.12673786734</v>
      </c>
    </row>
    <row r="50" spans="2:3">
      <c r="B50" s="11" t="s">
        <v>372</v>
      </c>
      <c r="C50" s="8">
        <v>86968.54649169021</v>
      </c>
    </row>
    <row r="51" spans="2:3">
      <c r="B51" s="11" t="s">
        <v>373</v>
      </c>
      <c r="C51" s="8">
        <v>113203.7475741524</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dimension ref="B2:G18"/>
  <sheetViews>
    <sheetView showGridLines="0" workbookViewId="0"/>
  </sheetViews>
  <sheetFormatPr defaultRowHeight="15"/>
  <cols>
    <col min="1" max="1" width="2.7109375" customWidth="1"/>
    <col min="2" max="2" width="6.7109375" customWidth="1"/>
    <col min="3" max="3" width="34.7109375" customWidth="1"/>
    <col min="4" max="4" width="62.7109375" customWidth="1"/>
    <col min="5" max="5" width="24.7109375" customWidth="1"/>
    <col min="6" max="6" width="16.7109375" customWidth="1"/>
    <col min="7" max="7" width="14.7109375" customWidth="1"/>
  </cols>
  <sheetData>
    <row r="2" spans="2:7">
      <c r="B2" s="1" t="s">
        <v>374</v>
      </c>
    </row>
    <row r="3" spans="2:7">
      <c r="B3" s="2" t="s">
        <v>375</v>
      </c>
    </row>
    <row r="6" spans="2:7">
      <c r="B6" s="6" t="s">
        <v>376</v>
      </c>
      <c r="C6" s="6" t="s">
        <v>377</v>
      </c>
      <c r="D6" s="6" t="s">
        <v>378</v>
      </c>
      <c r="E6" s="6" t="s">
        <v>379</v>
      </c>
      <c r="F6" s="6" t="s">
        <v>380</v>
      </c>
      <c r="G6" s="6" t="s">
        <v>381</v>
      </c>
    </row>
    <row r="7" spans="2:7" ht="76" customHeight="1">
      <c r="B7" s="15">
        <v>1</v>
      </c>
      <c r="C7" s="16" t="s">
        <v>382</v>
      </c>
      <c r="D7" s="17" t="s">
        <v>383</v>
      </c>
      <c r="E7" s="17" t="s">
        <v>384</v>
      </c>
      <c r="F7" s="17" t="s">
        <v>385</v>
      </c>
      <c r="G7" s="17" t="s">
        <v>386</v>
      </c>
    </row>
    <row r="8" spans="2:7" ht="76" customHeight="1">
      <c r="B8" s="15">
        <v>2</v>
      </c>
      <c r="C8" s="16" t="s">
        <v>387</v>
      </c>
      <c r="D8" s="17" t="s">
        <v>388</v>
      </c>
      <c r="E8" s="17" t="s">
        <v>389</v>
      </c>
      <c r="F8" s="17" t="s">
        <v>390</v>
      </c>
      <c r="G8" s="17" t="s">
        <v>386</v>
      </c>
    </row>
    <row r="9" spans="2:7" ht="76" customHeight="1">
      <c r="B9" s="15">
        <v>3</v>
      </c>
      <c r="C9" s="16" t="s">
        <v>391</v>
      </c>
      <c r="D9" s="17" t="s">
        <v>392</v>
      </c>
      <c r="E9" s="17" t="s">
        <v>393</v>
      </c>
      <c r="F9" s="17" t="s">
        <v>394</v>
      </c>
      <c r="G9" s="17" t="s">
        <v>386</v>
      </c>
    </row>
    <row r="10" spans="2:7" ht="76" customHeight="1">
      <c r="B10" s="15">
        <v>4</v>
      </c>
      <c r="C10" s="16" t="s">
        <v>395</v>
      </c>
      <c r="D10" s="17" t="s">
        <v>396</v>
      </c>
      <c r="E10" s="17" t="s">
        <v>397</v>
      </c>
      <c r="F10" s="17" t="s">
        <v>398</v>
      </c>
      <c r="G10" s="17" t="s">
        <v>399</v>
      </c>
    </row>
    <row r="11" spans="2:7" ht="76" customHeight="1">
      <c r="B11" s="15">
        <v>5</v>
      </c>
      <c r="C11" s="16" t="s">
        <v>400</v>
      </c>
      <c r="D11" s="17" t="s">
        <v>401</v>
      </c>
      <c r="E11" s="17" t="s">
        <v>402</v>
      </c>
      <c r="F11" s="17" t="s">
        <v>403</v>
      </c>
      <c r="G11" s="17" t="s">
        <v>399</v>
      </c>
    </row>
    <row r="12" spans="2:7" ht="76" customHeight="1">
      <c r="B12" s="15">
        <v>6</v>
      </c>
      <c r="C12" s="16" t="s">
        <v>404</v>
      </c>
      <c r="D12" s="17" t="s">
        <v>405</v>
      </c>
      <c r="E12" s="17" t="s">
        <v>406</v>
      </c>
      <c r="F12" s="17" t="s">
        <v>407</v>
      </c>
      <c r="G12" s="17" t="s">
        <v>408</v>
      </c>
    </row>
    <row r="13" spans="2:7" ht="76" customHeight="1">
      <c r="B13" s="15">
        <v>7</v>
      </c>
      <c r="C13" s="16" t="s">
        <v>409</v>
      </c>
      <c r="D13" s="17" t="s">
        <v>410</v>
      </c>
      <c r="E13" s="17" t="s">
        <v>411</v>
      </c>
      <c r="F13" s="17" t="s">
        <v>412</v>
      </c>
      <c r="G13" s="17" t="s">
        <v>408</v>
      </c>
    </row>
    <row r="14" spans="2:7" ht="76" customHeight="1">
      <c r="B14" s="15">
        <v>8</v>
      </c>
      <c r="C14" s="16" t="s">
        <v>413</v>
      </c>
      <c r="D14" s="17" t="s">
        <v>414</v>
      </c>
      <c r="E14" s="17" t="s">
        <v>415</v>
      </c>
      <c r="F14" s="17" t="s">
        <v>416</v>
      </c>
      <c r="G14" s="17" t="s">
        <v>408</v>
      </c>
    </row>
    <row r="15" spans="2:7" ht="76" customHeight="1">
      <c r="B15" s="15">
        <v>9</v>
      </c>
      <c r="C15" s="16" t="s">
        <v>417</v>
      </c>
      <c r="D15" s="17" t="s">
        <v>418</v>
      </c>
      <c r="E15" s="17" t="s">
        <v>419</v>
      </c>
      <c r="F15" s="17" t="s">
        <v>420</v>
      </c>
      <c r="G15" s="17" t="s">
        <v>399</v>
      </c>
    </row>
    <row r="16" spans="2:7" ht="76" customHeight="1">
      <c r="B16" s="15">
        <v>10</v>
      </c>
      <c r="C16" s="16" t="s">
        <v>421</v>
      </c>
      <c r="D16" s="17" t="s">
        <v>422</v>
      </c>
      <c r="E16" s="17" t="s">
        <v>423</v>
      </c>
      <c r="F16" s="17" t="s">
        <v>424</v>
      </c>
      <c r="G16" s="17" t="s">
        <v>408</v>
      </c>
    </row>
    <row r="17" spans="2:7" ht="76" customHeight="1">
      <c r="B17" s="15">
        <v>11</v>
      </c>
      <c r="C17" s="16" t="s">
        <v>425</v>
      </c>
      <c r="D17" s="17" t="s">
        <v>426</v>
      </c>
      <c r="E17" s="17" t="s">
        <v>427</v>
      </c>
      <c r="F17" s="17" t="s">
        <v>390</v>
      </c>
      <c r="G17" s="17" t="s">
        <v>428</v>
      </c>
    </row>
    <row r="18" spans="2:7" ht="76" customHeight="1">
      <c r="B18" s="15">
        <v>12</v>
      </c>
      <c r="C18" s="16" t="s">
        <v>429</v>
      </c>
      <c r="D18" s="17" t="s">
        <v>430</v>
      </c>
      <c r="E18" s="17" t="s">
        <v>411</v>
      </c>
      <c r="F18" s="17" t="s">
        <v>431</v>
      </c>
      <c r="G18" s="17" t="s">
        <v>428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1. Synthèse Direction</vt:lpstr>
      <vt:lpstr>2. Qualité des données</vt:lpstr>
      <vt:lpstr>3. Ventes</vt:lpstr>
      <vt:lpstr>4. Produits</vt:lpstr>
      <vt:lpstr>5. Clients</vt:lpstr>
      <vt:lpstr>6. Logistique-Retours</vt:lpstr>
      <vt:lpstr>7. Marketing</vt:lpstr>
      <vt:lpstr>8. Stocks-Achats</vt:lpstr>
      <vt:lpstr>9. Objectifs-Prévision</vt:lpstr>
      <vt:lpstr>10. Recommandations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2026-08-29T21:30:14Z</dcterms:created>
  <dcterms:modified xsi:type="dcterms:W3CDTF">2026-08-29T21:30:14Z</dcterms:modified>
</cp:coreProperties>
</file>